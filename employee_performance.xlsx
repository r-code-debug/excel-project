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13_ncr:1_{B6762EF0-A407-4D5C-BD99-7E998FDCC1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EmployeeData" sheetId="2" r:id="rId2"/>
    <sheet name="Pivot Table" sheetId="3" r:id="rId3"/>
    <sheet name="Chart" sheetId="4" r:id="rId4"/>
  </sheets>
  <definedNames>
    <definedName name="Slicer_Bonus">#N/A</definedName>
    <definedName name="Slicer_Department">#N/A</definedName>
    <definedName name="Slicer_Region">#N/A</definedName>
    <definedName name="Slicer_Status">#N/A</definedName>
  </definedNames>
  <calcPr calcId="191029" forceFullCalc="1"/>
  <pivotCaches>
    <pivotCache cacheId="0" r:id="rId5"/>
  </pivotCaches>
</workbook>
</file>

<file path=xl/calcChain.xml><?xml version="1.0" encoding="utf-8"?>
<calcChain xmlns="http://schemas.openxmlformats.org/spreadsheetml/2006/main">
  <c r="L101" i="2" l="1"/>
  <c r="K101" i="2"/>
  <c r="L100" i="2"/>
  <c r="K100" i="2"/>
  <c r="L99" i="2"/>
  <c r="K99" i="2"/>
  <c r="L98" i="2"/>
  <c r="K98" i="2"/>
  <c r="L97" i="2"/>
  <c r="K97" i="2"/>
  <c r="L96" i="2"/>
  <c r="K96" i="2"/>
  <c r="L95" i="2"/>
  <c r="K95" i="2"/>
  <c r="L94" i="2"/>
  <c r="K94" i="2"/>
  <c r="L93" i="2"/>
  <c r="K93" i="2"/>
  <c r="L92" i="2"/>
  <c r="K92" i="2"/>
  <c r="L91" i="2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L2" i="2"/>
  <c r="K2" i="2"/>
  <c r="L22" i="1"/>
  <c r="K22" i="1"/>
  <c r="J22" i="1"/>
  <c r="F22" i="1"/>
  <c r="E22" i="1"/>
  <c r="D22" i="1"/>
  <c r="C22" i="1"/>
  <c r="L21" i="1"/>
  <c r="K21" i="1"/>
  <c r="J21" i="1"/>
  <c r="F21" i="1"/>
  <c r="E21" i="1"/>
  <c r="D21" i="1"/>
  <c r="C21" i="1"/>
  <c r="L20" i="1"/>
  <c r="K20" i="1"/>
  <c r="J20" i="1"/>
  <c r="F20" i="1"/>
  <c r="E20" i="1"/>
  <c r="D20" i="1"/>
  <c r="C20" i="1"/>
  <c r="L19" i="1"/>
  <c r="K19" i="1"/>
  <c r="J19" i="1"/>
  <c r="F19" i="1"/>
  <c r="E19" i="1"/>
  <c r="D19" i="1"/>
  <c r="C19" i="1"/>
  <c r="K12" i="1"/>
  <c r="H12" i="1"/>
  <c r="E12" i="1"/>
  <c r="B12" i="1"/>
  <c r="N12" i="1" l="1"/>
  <c r="Q12" i="1"/>
</calcChain>
</file>

<file path=xl/sharedStrings.xml><?xml version="1.0" encoding="utf-8"?>
<sst xmlns="http://schemas.openxmlformats.org/spreadsheetml/2006/main" count="620" uniqueCount="164">
  <si>
    <t>Employee Performance Analytics Dashboard</t>
  </si>
  <si>
    <t>Source: Employee Performance Analytics Dashboard (MIS).xlsx</t>
  </si>
  <si>
    <t>Generated: 2026-07-01</t>
  </si>
  <si>
    <t>Data range: 2026-01-01 to 2026-04-10</t>
  </si>
  <si>
    <t>Key insights</t>
  </si>
  <si>
    <t>Top score: Divya Pandey (96)</t>
  </si>
  <si>
    <t>Highest payroll exposure: Sales department</t>
  </si>
  <si>
    <t>Overall performance average: 82.5</t>
  </si>
  <si>
    <t>Active workforce: 100 of 100 employees</t>
  </si>
  <si>
    <t>Total Employees</t>
  </si>
  <si>
    <t>Active Employees</t>
  </si>
  <si>
    <t>Average Score</t>
  </si>
  <si>
    <t>Total Salary</t>
  </si>
  <si>
    <t>Total Bonus</t>
  </si>
  <si>
    <t>Excellent Ratings</t>
  </si>
  <si>
    <t>Department performance</t>
  </si>
  <si>
    <t>Region performance</t>
  </si>
  <si>
    <t>Top performers</t>
  </si>
  <si>
    <t>Department</t>
  </si>
  <si>
    <t>Employees</t>
  </si>
  <si>
    <t>Avg Score</t>
  </si>
  <si>
    <t>Total Hours</t>
  </si>
  <si>
    <t>Region</t>
  </si>
  <si>
    <t>Total Tasks</t>
  </si>
  <si>
    <t>Employee</t>
  </si>
  <si>
    <t>Score</t>
  </si>
  <si>
    <t>Hours</t>
  </si>
  <si>
    <t>Finance</t>
  </si>
  <si>
    <t>East</t>
  </si>
  <si>
    <t>Dev Sharma</t>
  </si>
  <si>
    <t>IT</t>
  </si>
  <si>
    <t>South</t>
  </si>
  <si>
    <t>HR</t>
  </si>
  <si>
    <t>North</t>
  </si>
  <si>
    <t>Divya Pandey</t>
  </si>
  <si>
    <t>Varun Mehta</t>
  </si>
  <si>
    <t>Sales</t>
  </si>
  <si>
    <t>West</t>
  </si>
  <si>
    <t>Ashok Sharma</t>
  </si>
  <si>
    <t>Krishna Gupta</t>
  </si>
  <si>
    <t>Pooja Malhotra</t>
  </si>
  <si>
    <t>Rahul Verma</t>
  </si>
  <si>
    <t>Rekha Reddy</t>
  </si>
  <si>
    <t>Arjun Sharma</t>
  </si>
  <si>
    <t>Kunal Iyer</t>
  </si>
  <si>
    <t>Performance mix</t>
  </si>
  <si>
    <t>Performance Level</t>
  </si>
  <si>
    <t>Count</t>
  </si>
  <si>
    <t>Excellent</t>
  </si>
  <si>
    <t>Good</t>
  </si>
  <si>
    <t>Average</t>
  </si>
  <si>
    <t>Poor</t>
  </si>
  <si>
    <t>EmployeeID</t>
  </si>
  <si>
    <t>Name</t>
  </si>
  <si>
    <t>Date</t>
  </si>
  <si>
    <t>Tasks</t>
  </si>
  <si>
    <t>Status</t>
  </si>
  <si>
    <t>Salary</t>
  </si>
  <si>
    <t>Bonus</t>
  </si>
  <si>
    <t>Amit Sharma</t>
  </si>
  <si>
    <t>Active</t>
  </si>
  <si>
    <t>Neha Verma</t>
  </si>
  <si>
    <t>Rahul Gupta</t>
  </si>
  <si>
    <t>Priya Yadav</t>
  </si>
  <si>
    <t>Vikram Singh</t>
  </si>
  <si>
    <t>Sneha Kumar</t>
  </si>
  <si>
    <t>Rohit Mehta</t>
  </si>
  <si>
    <t>Anjali Jain</t>
  </si>
  <si>
    <t>Karan Kapoor</t>
  </si>
  <si>
    <t>Deepak Chawla</t>
  </si>
  <si>
    <t>Isha Bansal</t>
  </si>
  <si>
    <t>Sahil Arora</t>
  </si>
  <si>
    <t>Meera Reddy</t>
  </si>
  <si>
    <t>Ashok Iyer</t>
  </si>
  <si>
    <t>Ritika Nair</t>
  </si>
  <si>
    <t>Yash Joshi</t>
  </si>
  <si>
    <t>Manish Sinha</t>
  </si>
  <si>
    <t>Kajal Saxena</t>
  </si>
  <si>
    <t>Aman Sharma</t>
  </si>
  <si>
    <t>Nidhi Verma</t>
  </si>
  <si>
    <t>Varun Gupta</t>
  </si>
  <si>
    <t>Simran Kaur</t>
  </si>
  <si>
    <t>Rajat Singh</t>
  </si>
  <si>
    <t>Priyanka Kumar</t>
  </si>
  <si>
    <t>Himanshu Mehta</t>
  </si>
  <si>
    <t>Shreya Jain</t>
  </si>
  <si>
    <t>Aditya Kapoor</t>
  </si>
  <si>
    <t>Komal Malhotra</t>
  </si>
  <si>
    <t>Arjun Chawla</t>
  </si>
  <si>
    <t>Tanya Bansal</t>
  </si>
  <si>
    <t>Naveen Arora</t>
  </si>
  <si>
    <t>Alok Iyer</t>
  </si>
  <si>
    <t>Neelam Nair</t>
  </si>
  <si>
    <t>Sameer Joshi</t>
  </si>
  <si>
    <t>Payal Pandey</t>
  </si>
  <si>
    <t>Krishna Sinha</t>
  </si>
  <si>
    <t>Monika Saxena</t>
  </si>
  <si>
    <t>Sonia Verma</t>
  </si>
  <si>
    <t>Aarti Yadav</t>
  </si>
  <si>
    <t>Manoj Singh</t>
  </si>
  <si>
    <t>Renu Kumar</t>
  </si>
  <si>
    <t>Vishal Mehta</t>
  </si>
  <si>
    <t>Seema Jain</t>
  </si>
  <si>
    <t>Harsh Kapoor</t>
  </si>
  <si>
    <t>Ishita Bansal</t>
  </si>
  <si>
    <t>Divya Nair</t>
  </si>
  <si>
    <t>Sahil Joshi</t>
  </si>
  <si>
    <t>Megha Pandey</t>
  </si>
  <si>
    <t>Arvind Sinha</t>
  </si>
  <si>
    <t>Kiran Saxena</t>
  </si>
  <si>
    <t>Amit Kumar</t>
  </si>
  <si>
    <t>Neha Sharma</t>
  </si>
  <si>
    <t>Priya Singh</t>
  </si>
  <si>
    <t>Vikram Yadav</t>
  </si>
  <si>
    <t>Sneha Mehta</t>
  </si>
  <si>
    <t>Rohit Gupta</t>
  </si>
  <si>
    <t>Anjali Sharma</t>
  </si>
  <si>
    <t>Karan Singh</t>
  </si>
  <si>
    <t>Pooja Yadav</t>
  </si>
  <si>
    <t>Deepak Verma</t>
  </si>
  <si>
    <t>Isha Sharma</t>
  </si>
  <si>
    <t>Sahil Gupta</t>
  </si>
  <si>
    <t>Meera Joshi</t>
  </si>
  <si>
    <t>Ritika Verma</t>
  </si>
  <si>
    <t>Yash Singh</t>
  </si>
  <si>
    <t>Divya Kapoor</t>
  </si>
  <si>
    <t>Manish Gupta</t>
  </si>
  <si>
    <t>Kajal Yadav</t>
  </si>
  <si>
    <t>Aman Singh</t>
  </si>
  <si>
    <t>Nidhi Kapoor</t>
  </si>
  <si>
    <t>Simran Verma</t>
  </si>
  <si>
    <t>Rajat Gupta</t>
  </si>
  <si>
    <t>Priyanka Singh</t>
  </si>
  <si>
    <t>Himanshu Sharma</t>
  </si>
  <si>
    <t>Shreya Verma</t>
  </si>
  <si>
    <t>Aditya Singh</t>
  </si>
  <si>
    <t>Komal Gupta</t>
  </si>
  <si>
    <t>Tanya Singh</t>
  </si>
  <si>
    <t>Naveen Gupta</t>
  </si>
  <si>
    <t>Rekha Sharma</t>
  </si>
  <si>
    <t>Alok Singh</t>
  </si>
  <si>
    <t>Neelam Gupta</t>
  </si>
  <si>
    <t>Sameer Sharma</t>
  </si>
  <si>
    <t>Payal Singh</t>
  </si>
  <si>
    <t>Monika Verma</t>
  </si>
  <si>
    <t>Sonia Sharma</t>
  </si>
  <si>
    <t>Dev Gupta</t>
  </si>
  <si>
    <t>Aarti Singh</t>
  </si>
  <si>
    <t>Manoj Verma</t>
  </si>
  <si>
    <t>Renu Sharma</t>
  </si>
  <si>
    <t>There are total 5 pivot tables</t>
  </si>
  <si>
    <t>Row Labels</t>
  </si>
  <si>
    <t xml:space="preserve"> Sum of Score</t>
  </si>
  <si>
    <t>Grand Total</t>
  </si>
  <si>
    <t>Sum of Salary</t>
  </si>
  <si>
    <t>Average of Score</t>
  </si>
  <si>
    <t>Count of EmployeeID</t>
  </si>
  <si>
    <t>Jan</t>
  </si>
  <si>
    <t>Feb</t>
  </si>
  <si>
    <t>Mar</t>
  </si>
  <si>
    <t>Apr</t>
  </si>
  <si>
    <t>No</t>
  </si>
  <si>
    <t>Yes</t>
  </si>
  <si>
    <t>Sum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</si>
</sst>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\$#,##0"/>
    <numFmt numFmtId="166" formatCode="0.0"/>
    <numFmt numFmtId="167" formatCode="yyyy\-mm\-dd"/>
  </numFmts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rgb="FF1F4E79"/>
      <name val="Georgia"/>
      <family val="1"/>
    </font>
    <font>
      <i/>
      <sz val="9"/>
      <color rgb="FF666666"/>
      <name val="Calibri"/>
      <family val="2"/>
    </font>
    <font>
      <b/>
      <sz val="13"/>
      <color rgb="FF1F4E79"/>
      <name val="Georgia"/>
      <family val="1"/>
    </font>
    <font>
      <sz val="11"/>
      <color rgb="FF000000"/>
      <name val="Calibri"/>
      <family val="2"/>
    </font>
    <font>
      <b/>
      <sz val="10"/>
      <color rgb="FF1F4E79"/>
      <name val="Calibri"/>
      <family val="2"/>
    </font>
    <font>
      <b/>
      <sz val="16"/>
      <color rgb="FF000000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EF4FA"/>
      </patternFill>
    </fill>
    <fill>
      <patternFill patternType="solid">
        <fgColor rgb="FFD6E3F0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1" fillId="2" borderId="0"/>
  </cellStyleXfs>
  <cellXfs count="2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/>
    <xf numFmtId="0" fontId="0" fillId="3" borderId="1" xfId="0" applyFill="1" applyBorder="1"/>
    <xf numFmtId="3" fontId="7" fillId="3" borderId="1" xfId="0" applyNumberFormat="1" applyFont="1" applyFill="1" applyBorder="1" applyAlignment="1">
      <alignment horizontal="left"/>
    </xf>
    <xf numFmtId="164" fontId="7" fillId="3" borderId="1" xfId="0" applyNumberFormat="1" applyFont="1" applyFill="1" applyBorder="1" applyAlignment="1">
      <alignment horizontal="left"/>
    </xf>
    <xf numFmtId="165" fontId="7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0" fillId="4" borderId="0" xfId="0" applyFill="1"/>
    <xf numFmtId="0" fontId="8" fillId="5" borderId="2" xfId="0" applyFont="1" applyFill="1" applyBorder="1" applyAlignment="1">
      <alignment horizontal="center"/>
    </xf>
    <xf numFmtId="0" fontId="5" fillId="0" borderId="3" xfId="0" applyFont="1" applyBorder="1"/>
    <xf numFmtId="166" fontId="5" fillId="0" borderId="3" xfId="0" applyNumberFormat="1" applyFont="1" applyBorder="1"/>
    <xf numFmtId="3" fontId="5" fillId="0" borderId="3" xfId="0" applyNumberFormat="1" applyFont="1" applyBorder="1"/>
    <xf numFmtId="165" fontId="5" fillId="0" borderId="3" xfId="0" applyNumberFormat="1" applyFont="1" applyBorder="1"/>
    <xf numFmtId="0" fontId="8" fillId="5" borderId="0" xfId="0" applyFont="1" applyFill="1"/>
    <xf numFmtId="3" fontId="0" fillId="0" borderId="0" xfId="0" applyNumberFormat="1"/>
    <xf numFmtId="0" fontId="8" fillId="5" borderId="2" xfId="0" applyFont="1" applyFill="1" applyBorder="1" applyAlignment="1">
      <alignment horizontal="center" vertical="center"/>
    </xf>
    <xf numFmtId="167" fontId="0" fillId="0" borderId="0" xfId="0" applyNumberFormat="1"/>
    <xf numFmtId="166" fontId="0" fillId="0" borderId="0" xfId="0" applyNumberFormat="1"/>
    <xf numFmtId="0" fontId="8" fillId="5" borderId="0" xfId="1" applyFont="1" applyFill="1" applyAlignment="1">
      <alignment horizontal="center"/>
    </xf>
    <xf numFmtId="0" fontId="7" fillId="3" borderId="1" xfId="0" applyNumberFormat="1" applyFont="1" applyFill="1" applyBorder="1" applyAlignment="1">
      <alignment horizontal="left"/>
    </xf>
  </cellXfs>
  <cellStyles count="2">
    <cellStyle name="Good" xfId="1" builtinId="26"/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Score by Department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Dashboard!$D$18</c:f>
              <c:strCache>
                <c:ptCount val="1"/>
                <c:pt idx="0">
                  <c:v>Avg Score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Dashboard!$B$19:$B$22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Dashboard!$D$19:$D$22</c:f>
              <c:numCache>
                <c:formatCode>0.0</c:formatCode>
                <c:ptCount val="4"/>
                <c:pt idx="0">
                  <c:v>86.2</c:v>
                </c:pt>
                <c:pt idx="1">
                  <c:v>74.52</c:v>
                </c:pt>
                <c:pt idx="2">
                  <c:v>93.28</c:v>
                </c:pt>
                <c:pt idx="3">
                  <c:v>76.16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F-4D68-9488-A9C6DFCDEC1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Total Tasks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Dashboard!$L$18</c:f>
              <c:strCache>
                <c:ptCount val="1"/>
                <c:pt idx="0">
                  <c:v>Total Tasks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Dashboard!$I$19:$I$22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Dashboard!$L$19:$L$22</c:f>
              <c:numCache>
                <c:formatCode>#,##0</c:formatCode>
                <c:ptCount val="4"/>
                <c:pt idx="0">
                  <c:v>227</c:v>
                </c:pt>
                <c:pt idx="1">
                  <c:v>232</c:v>
                </c:pt>
                <c:pt idx="2">
                  <c:v>374</c:v>
                </c:pt>
                <c:pt idx="3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B-4267-9759-2A2B829E6B2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5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Tasks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Performance Level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Dashboard!$O$32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Dashboard!$N$33:$N$36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Average</c:v>
                </c:pt>
                <c:pt idx="3">
                  <c:v>Poor</c:v>
                </c:pt>
              </c:strCache>
            </c:strRef>
          </c:cat>
          <c:val>
            <c:numRef>
              <c:f>Dashboard!$O$33:$O$36</c:f>
              <c:numCache>
                <c:formatCode>#,##0</c:formatCode>
                <c:ptCount val="4"/>
                <c:pt idx="0">
                  <c:v>25</c:v>
                </c:pt>
                <c:pt idx="1">
                  <c:v>37</c:v>
                </c:pt>
                <c:pt idx="2">
                  <c:v>32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B-428A-97A5-8B085A6E68F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[employee_performance.xlsx]Pivot Table!PivotTable3</c:name>
    <c:fmtId val="3"/>
  </c:pivotSource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Table'!$B$12</c:f>
              <c:strCache>
                <c:ptCount val="1"/>
                <c:pt idx="0">
                  <c:v>Sum of Salary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75B-4553-9949-D52E458B3C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75B-4553-9949-D52E458B3C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75B-4553-9949-D52E458B3C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75B-4553-9949-D52E458B3CD5}"/>
              </c:ext>
            </c:extLst>
          </c:dPt>
          <c:cat>
            <c:strRef>
              <c:f>'Pivot Table'!$A$13:$A$17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Table'!$B$13:$B$17</c:f>
              <c:numCache>
                <c:formatCode>General</c:formatCode>
                <c:ptCount val="4"/>
                <c:pt idx="0">
                  <c:v>734000</c:v>
                </c:pt>
                <c:pt idx="1">
                  <c:v>750000</c:v>
                </c:pt>
                <c:pt idx="2">
                  <c:v>1091000</c:v>
                </c:pt>
                <c:pt idx="3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5B-4553-9949-D52E458B3CD5}"/>
            </c:ext>
          </c:extLst>
        </c:ser>
        <c:ser>
          <c:idx val="1"/>
          <c:order val="1"/>
          <c:tx>
            <c:strRef>
              <c:f>'Pivot Table'!$C$12</c:f>
              <c:strCache>
                <c:ptCount val="1"/>
                <c:pt idx="0">
                  <c:v>Average of Score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75B-4553-9949-D52E458B3C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075B-4553-9949-D52E458B3C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075B-4553-9949-D52E458B3C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075B-4553-9949-D52E458B3CD5}"/>
              </c:ext>
            </c:extLst>
          </c:dPt>
          <c:cat>
            <c:strRef>
              <c:f>'Pivot Table'!$A$13:$A$17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Table'!$C$13:$C$17</c:f>
              <c:numCache>
                <c:formatCode>General</c:formatCode>
                <c:ptCount val="4"/>
                <c:pt idx="0">
                  <c:v>75.64</c:v>
                </c:pt>
                <c:pt idx="1">
                  <c:v>76.16</c:v>
                </c:pt>
                <c:pt idx="2">
                  <c:v>92.16</c:v>
                </c:pt>
                <c:pt idx="3">
                  <c:v>86.2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75B-4553-9949-D52E458B3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[employee_performance.xlsx]Pivot Table!PivotTable4</c:name>
    <c:fmtId val="0"/>
  </c:pivotSource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'Pivot Table'!$A$22:$A$26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Table'!$B$22:$B$26</c:f>
              <c:numCache>
                <c:formatCode>General</c:formatCode>
                <c:ptCount val="4"/>
                <c:pt idx="0">
                  <c:v>31</c:v>
                </c:pt>
                <c:pt idx="1">
                  <c:v>28</c:v>
                </c:pt>
                <c:pt idx="2">
                  <c:v>31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3-48A4-9104-0B153F73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165088"/>
        <c:axId val="159627584"/>
      </c:barChart>
      <c:catAx>
        <c:axId val="64216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27584"/>
        <c:crosses val="autoZero"/>
        <c:auto val="1"/>
        <c:lblAlgn val="ctr"/>
        <c:lblOffset val="100"/>
        <c:noMultiLvlLbl val="0"/>
      </c:catAx>
      <c:valAx>
        <c:axId val="15962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16508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32</xdr:row>
      <xdr:rowOff>0</xdr:rowOff>
    </xdr:from>
    <xdr:ext cx="3780000" cy="23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819150</xdr:colOff>
      <xdr:row>31</xdr:row>
      <xdr:rowOff>190500</xdr:rowOff>
    </xdr:from>
    <xdr:ext cx="3780000" cy="23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47</xdr:row>
      <xdr:rowOff>0</xdr:rowOff>
    </xdr:from>
    <xdr:ext cx="3060000" cy="23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555625</xdr:colOff>
      <xdr:row>1</xdr:row>
      <xdr:rowOff>44450</xdr:rowOff>
    </xdr:from>
    <xdr:to>
      <xdr:col>8</xdr:col>
      <xdr:colOff>250825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1</xdr:row>
      <xdr:rowOff>12700</xdr:rowOff>
    </xdr:from>
    <xdr:to>
      <xdr:col>16</xdr:col>
      <xdr:colOff>542925</xdr:colOff>
      <xdr:row>15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ght RG" refreshedDate="46204.740181828703" createdVersion="8" refreshedVersion="8" minRefreshableVersion="3" recordCount="100" xr:uid="{00000000-000A-0000-FFFF-FFFF1F000000}">
  <cacheSource type="worksheet">
    <worksheetSource name="Table2"/>
  </cacheSource>
  <cacheFields count="14">
    <cacheField name="EmployeeID" numFmtId="0">
      <sharedItems containsSemiMixedTypes="0" containsString="0" containsNumber="1" containsInteger="1" minValue="1" maxValue="100"/>
    </cacheField>
    <cacheField name="Name" numFmtId="0">
      <sharedItems count="100">
        <s v="Amit Sharma"/>
        <s v="Neha Verma"/>
        <s v="Rahul Gupta"/>
        <s v="Priya Yadav"/>
        <s v="Vikram Singh"/>
        <s v="Sneha Kumar"/>
        <s v="Rohit Mehta"/>
        <s v="Anjali Jain"/>
        <s v="Karan Kapoor"/>
        <s v="Pooja Malhotra"/>
        <s v="Deepak Chawla"/>
        <s v="Isha Bansal"/>
        <s v="Sahil Arora"/>
        <s v="Meera Reddy"/>
        <s v="Ashok Iyer"/>
        <s v="Ritika Nair"/>
        <s v="Yash Joshi"/>
        <s v="Divya Pandey"/>
        <s v="Manish Sinha"/>
        <s v="Kajal Saxena"/>
        <s v="Aman Sharma"/>
        <s v="Nidhi Verma"/>
        <s v="Varun Gupta"/>
        <s v="Simran Kaur"/>
        <s v="Rajat Singh"/>
        <s v="Priyanka Kumar"/>
        <s v="Himanshu Mehta"/>
        <s v="Shreya Jain"/>
        <s v="Aditya Kapoor"/>
        <s v="Komal Malhotra"/>
        <s v="Arjun Chawla"/>
        <s v="Tanya Bansal"/>
        <s v="Naveen Arora"/>
        <s v="Rekha Reddy"/>
        <s v="Alok Iyer"/>
        <s v="Neelam Nair"/>
        <s v="Sameer Joshi"/>
        <s v="Payal Pandey"/>
        <s v="Krishna Sinha"/>
        <s v="Monika Saxena"/>
        <s v="Sonia Verma"/>
        <s v="Dev Sharma"/>
        <s v="Aarti Yadav"/>
        <s v="Manoj Singh"/>
        <s v="Renu Kumar"/>
        <s v="Vishal Mehta"/>
        <s v="Seema Jain"/>
        <s v="Harsh Kapoor"/>
        <s v="Ishita Bansal"/>
        <s v="Kunal Iyer"/>
        <s v="Divya Nair"/>
        <s v="Sahil Joshi"/>
        <s v="Megha Pandey"/>
        <s v="Arvind Sinha"/>
        <s v="Kiran Saxena"/>
        <s v="Amit Kumar"/>
        <s v="Neha Sharma"/>
        <s v="Rahul Verma"/>
        <s v="Priya Singh"/>
        <s v="Vikram Yadav"/>
        <s v="Sneha Mehta"/>
        <s v="Rohit Gupta"/>
        <s v="Anjali Sharma"/>
        <s v="Karan Singh"/>
        <s v="Pooja Yadav"/>
        <s v="Deepak Verma"/>
        <s v="Isha Sharma"/>
        <s v="Sahil Gupta"/>
        <s v="Meera Joshi"/>
        <s v="Ashok Sharma"/>
        <s v="Ritika Verma"/>
        <s v="Yash Singh"/>
        <s v="Divya Kapoor"/>
        <s v="Manish Gupta"/>
        <s v="Kajal Yadav"/>
        <s v="Aman Singh"/>
        <s v="Nidhi Kapoor"/>
        <s v="Varun Mehta"/>
        <s v="Simran Verma"/>
        <s v="Rajat Gupta"/>
        <s v="Priyanka Singh"/>
        <s v="Himanshu Sharma"/>
        <s v="Shreya Verma"/>
        <s v="Aditya Singh"/>
        <s v="Komal Gupta"/>
        <s v="Arjun Sharma"/>
        <s v="Tanya Singh"/>
        <s v="Naveen Gupta"/>
        <s v="Rekha Sharma"/>
        <s v="Alok Singh"/>
        <s v="Neelam Gupta"/>
        <s v="Sameer Sharma"/>
        <s v="Payal Singh"/>
        <s v="Krishna Gupta"/>
        <s v="Monika Verma"/>
        <s v="Sonia Sharma"/>
        <s v="Dev Gupta"/>
        <s v="Aarti Singh"/>
        <s v="Manoj Verma"/>
        <s v="Renu Sharma"/>
      </sharedItems>
    </cacheField>
    <cacheField name="Department" numFmtId="0">
      <sharedItems count="4">
        <s v="Sales"/>
        <s v="HR"/>
        <s v="IT"/>
        <s v="Finance"/>
      </sharedItems>
    </cacheField>
    <cacheField name="Region" numFmtId="0">
      <sharedItems count="4">
        <s v="North"/>
        <s v="South"/>
        <s v="East"/>
        <s v="West"/>
      </sharedItems>
    </cacheField>
    <cacheField name="Date" numFmtId="14">
      <sharedItems containsSemiMixedTypes="0" containsNonDate="0" containsDate="1" containsString="0" minDate="2026-01-01T00:00:00" maxDate="2026-04-11T00:00:00" count="10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</sharedItems>
      <fieldGroup par="13"/>
    </cacheField>
    <cacheField name="Hours" numFmtId="0">
      <sharedItems containsSemiMixedTypes="0" containsString="0" containsNumber="1" containsInteger="1" minValue="6" maxValue="9"/>
    </cacheField>
    <cacheField name="Tasks" numFmtId="0">
      <sharedItems containsSemiMixedTypes="0" containsString="0" containsNumber="1" containsInteger="1" minValue="7" maxValue="16"/>
    </cacheField>
    <cacheField name="Score" numFmtId="0">
      <sharedItems containsSemiMixedTypes="0" containsString="0" containsNumber="1" containsInteger="1" minValue="67" maxValue="96"/>
    </cacheField>
    <cacheField name="Status" numFmtId="0">
      <sharedItems count="1">
        <s v="Active"/>
      </sharedItems>
    </cacheField>
    <cacheField name="Salary" numFmtId="0">
      <sharedItems containsSemiMixedTypes="0" containsString="0" containsNumber="1" containsInteger="1" minValue="28000" maxValue="45000"/>
    </cacheField>
    <cacheField name="Bonus" numFmtId="0">
      <sharedItems count="2">
        <s v="Yes"/>
        <s v="No"/>
      </sharedItems>
    </cacheField>
    <cacheField name="Performance Level" numFmtId="0">
      <sharedItems/>
    </cacheField>
    <cacheField name="Days (Date)" numFmtId="0" databaseField="0">
      <fieldGroup base="4">
        <rangePr groupBy="days" startDate="2026-01-01T00:00:00" endDate="2026-04-1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1/2026"/>
        </groupItems>
      </fieldGroup>
    </cacheField>
    <cacheField name="Months (Date)" numFmtId="0" databaseField="0">
      <fieldGroup base="4">
        <rangePr groupBy="months" startDate="2026-01-01T00:00:00" endDate="2026-04-1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0">
  <r>
    <n v="1"/>
    <x v="0"/>
    <x v="0"/>
    <x v="0"/>
    <x v="0"/>
    <n v="8"/>
    <n v="12"/>
    <n v="85"/>
    <x v="0"/>
    <n v="30000"/>
    <x v="0"/>
    <s v="Good"/>
  </r>
  <r>
    <n v="2"/>
    <x v="1"/>
    <x v="1"/>
    <x v="1"/>
    <x v="1"/>
    <n v="7"/>
    <n v="10"/>
    <n v="78"/>
    <x v="0"/>
    <n v="28000"/>
    <x v="1"/>
    <s v="Average"/>
  </r>
  <r>
    <n v="3"/>
    <x v="2"/>
    <x v="2"/>
    <x v="2"/>
    <x v="2"/>
    <n v="9"/>
    <n v="15"/>
    <n v="92"/>
    <x v="0"/>
    <n v="45000"/>
    <x v="0"/>
    <s v="Excellent"/>
  </r>
  <r>
    <n v="4"/>
    <x v="3"/>
    <x v="3"/>
    <x v="3"/>
    <x v="3"/>
    <n v="8"/>
    <n v="11"/>
    <n v="88"/>
    <x v="0"/>
    <n v="40000"/>
    <x v="0"/>
    <s v="Good"/>
  </r>
  <r>
    <n v="5"/>
    <x v="4"/>
    <x v="0"/>
    <x v="0"/>
    <x v="4"/>
    <n v="6"/>
    <n v="8"/>
    <n v="70"/>
    <x v="0"/>
    <n v="30000"/>
    <x v="0"/>
    <s v="Average"/>
  </r>
  <r>
    <n v="6"/>
    <x v="5"/>
    <x v="2"/>
    <x v="1"/>
    <x v="5"/>
    <n v="9"/>
    <n v="14"/>
    <n v="90"/>
    <x v="0"/>
    <n v="45000"/>
    <x v="0"/>
    <s v="Excellent"/>
  </r>
  <r>
    <n v="7"/>
    <x v="6"/>
    <x v="1"/>
    <x v="2"/>
    <x v="6"/>
    <n v="7"/>
    <n v="9"/>
    <n v="75"/>
    <x v="0"/>
    <n v="28000"/>
    <x v="1"/>
    <s v="Average"/>
  </r>
  <r>
    <n v="8"/>
    <x v="7"/>
    <x v="3"/>
    <x v="3"/>
    <x v="7"/>
    <n v="8"/>
    <n v="13"/>
    <n v="86"/>
    <x v="0"/>
    <n v="40000"/>
    <x v="0"/>
    <s v="Good"/>
  </r>
  <r>
    <n v="9"/>
    <x v="8"/>
    <x v="0"/>
    <x v="0"/>
    <x v="8"/>
    <n v="8"/>
    <n v="10"/>
    <n v="80"/>
    <x v="0"/>
    <n v="30000"/>
    <x v="0"/>
    <s v="Good"/>
  </r>
  <r>
    <n v="10"/>
    <x v="9"/>
    <x v="2"/>
    <x v="1"/>
    <x v="9"/>
    <n v="9"/>
    <n v="16"/>
    <n v="95"/>
    <x v="0"/>
    <n v="45000"/>
    <x v="0"/>
    <s v="Excellent"/>
  </r>
  <r>
    <n v="11"/>
    <x v="10"/>
    <x v="1"/>
    <x v="2"/>
    <x v="10"/>
    <n v="7"/>
    <n v="9"/>
    <n v="74"/>
    <x v="0"/>
    <n v="28000"/>
    <x v="1"/>
    <s v="Average"/>
  </r>
  <r>
    <n v="12"/>
    <x v="11"/>
    <x v="3"/>
    <x v="3"/>
    <x v="11"/>
    <n v="8"/>
    <n v="12"/>
    <n v="84"/>
    <x v="0"/>
    <n v="40000"/>
    <x v="0"/>
    <s v="Good"/>
  </r>
  <r>
    <n v="13"/>
    <x v="12"/>
    <x v="0"/>
    <x v="0"/>
    <x v="12"/>
    <n v="6"/>
    <n v="7"/>
    <n v="68"/>
    <x v="0"/>
    <n v="30000"/>
    <x v="0"/>
    <s v="Poor"/>
  </r>
  <r>
    <n v="14"/>
    <x v="13"/>
    <x v="2"/>
    <x v="1"/>
    <x v="13"/>
    <n v="9"/>
    <n v="15"/>
    <n v="91"/>
    <x v="0"/>
    <n v="45000"/>
    <x v="0"/>
    <s v="Excellent"/>
  </r>
  <r>
    <n v="15"/>
    <x v="14"/>
    <x v="1"/>
    <x v="2"/>
    <x v="14"/>
    <n v="7"/>
    <n v="8"/>
    <n v="72"/>
    <x v="0"/>
    <n v="28000"/>
    <x v="1"/>
    <s v="Average"/>
  </r>
  <r>
    <n v="16"/>
    <x v="15"/>
    <x v="3"/>
    <x v="3"/>
    <x v="15"/>
    <n v="8"/>
    <n v="13"/>
    <n v="87"/>
    <x v="0"/>
    <n v="40000"/>
    <x v="0"/>
    <s v="Good"/>
  </r>
  <r>
    <n v="17"/>
    <x v="16"/>
    <x v="0"/>
    <x v="0"/>
    <x v="16"/>
    <n v="8"/>
    <n v="11"/>
    <n v="82"/>
    <x v="0"/>
    <n v="30000"/>
    <x v="0"/>
    <s v="Good"/>
  </r>
  <r>
    <n v="18"/>
    <x v="17"/>
    <x v="2"/>
    <x v="1"/>
    <x v="17"/>
    <n v="9"/>
    <n v="16"/>
    <n v="96"/>
    <x v="0"/>
    <n v="45000"/>
    <x v="0"/>
    <s v="Excellent"/>
  </r>
  <r>
    <n v="19"/>
    <x v="18"/>
    <x v="1"/>
    <x v="2"/>
    <x v="18"/>
    <n v="7"/>
    <n v="9"/>
    <n v="76"/>
    <x v="0"/>
    <n v="28000"/>
    <x v="1"/>
    <s v="Average"/>
  </r>
  <r>
    <n v="20"/>
    <x v="19"/>
    <x v="3"/>
    <x v="3"/>
    <x v="19"/>
    <n v="8"/>
    <n v="12"/>
    <n v="85"/>
    <x v="0"/>
    <n v="40000"/>
    <x v="0"/>
    <s v="Good"/>
  </r>
  <r>
    <n v="21"/>
    <x v="20"/>
    <x v="0"/>
    <x v="0"/>
    <x v="20"/>
    <n v="8"/>
    <n v="10"/>
    <n v="79"/>
    <x v="0"/>
    <n v="30000"/>
    <x v="0"/>
    <s v="Average"/>
  </r>
  <r>
    <n v="22"/>
    <x v="21"/>
    <x v="2"/>
    <x v="1"/>
    <x v="21"/>
    <n v="9"/>
    <n v="15"/>
    <n v="93"/>
    <x v="0"/>
    <n v="45000"/>
    <x v="0"/>
    <s v="Excellent"/>
  </r>
  <r>
    <n v="23"/>
    <x v="22"/>
    <x v="1"/>
    <x v="2"/>
    <x v="22"/>
    <n v="7"/>
    <n v="8"/>
    <n v="73"/>
    <x v="0"/>
    <n v="28000"/>
    <x v="1"/>
    <s v="Average"/>
  </r>
  <r>
    <n v="24"/>
    <x v="23"/>
    <x v="3"/>
    <x v="3"/>
    <x v="23"/>
    <n v="8"/>
    <n v="13"/>
    <n v="88"/>
    <x v="0"/>
    <n v="40000"/>
    <x v="0"/>
    <s v="Good"/>
  </r>
  <r>
    <n v="25"/>
    <x v="24"/>
    <x v="0"/>
    <x v="0"/>
    <x v="24"/>
    <n v="6"/>
    <n v="7"/>
    <n v="69"/>
    <x v="0"/>
    <n v="30000"/>
    <x v="0"/>
    <s v="Poor"/>
  </r>
  <r>
    <n v="26"/>
    <x v="25"/>
    <x v="2"/>
    <x v="1"/>
    <x v="25"/>
    <n v="9"/>
    <n v="16"/>
    <n v="94"/>
    <x v="0"/>
    <n v="45000"/>
    <x v="0"/>
    <s v="Excellent"/>
  </r>
  <r>
    <n v="27"/>
    <x v="26"/>
    <x v="1"/>
    <x v="2"/>
    <x v="26"/>
    <n v="7"/>
    <n v="9"/>
    <n v="75"/>
    <x v="0"/>
    <n v="28000"/>
    <x v="1"/>
    <s v="Average"/>
  </r>
  <r>
    <n v="28"/>
    <x v="27"/>
    <x v="3"/>
    <x v="3"/>
    <x v="27"/>
    <n v="8"/>
    <n v="12"/>
    <n v="86"/>
    <x v="0"/>
    <n v="40000"/>
    <x v="0"/>
    <s v="Good"/>
  </r>
  <r>
    <n v="29"/>
    <x v="28"/>
    <x v="0"/>
    <x v="0"/>
    <x v="28"/>
    <n v="8"/>
    <n v="11"/>
    <n v="81"/>
    <x v="0"/>
    <n v="30000"/>
    <x v="0"/>
    <s v="Good"/>
  </r>
  <r>
    <n v="30"/>
    <x v="29"/>
    <x v="2"/>
    <x v="1"/>
    <x v="29"/>
    <n v="9"/>
    <n v="15"/>
    <n v="92"/>
    <x v="0"/>
    <n v="45000"/>
    <x v="0"/>
    <s v="Excellent"/>
  </r>
  <r>
    <n v="31"/>
    <x v="30"/>
    <x v="1"/>
    <x v="2"/>
    <x v="30"/>
    <n v="7"/>
    <n v="8"/>
    <n v="74"/>
    <x v="0"/>
    <n v="28000"/>
    <x v="1"/>
    <s v="Average"/>
  </r>
  <r>
    <n v="32"/>
    <x v="31"/>
    <x v="3"/>
    <x v="3"/>
    <x v="31"/>
    <n v="8"/>
    <n v="13"/>
    <n v="87"/>
    <x v="0"/>
    <n v="40000"/>
    <x v="0"/>
    <s v="Good"/>
  </r>
  <r>
    <n v="33"/>
    <x v="32"/>
    <x v="0"/>
    <x v="0"/>
    <x v="32"/>
    <n v="6"/>
    <n v="7"/>
    <n v="67"/>
    <x v="0"/>
    <n v="30000"/>
    <x v="0"/>
    <s v="Poor"/>
  </r>
  <r>
    <n v="34"/>
    <x v="33"/>
    <x v="2"/>
    <x v="1"/>
    <x v="33"/>
    <n v="9"/>
    <n v="16"/>
    <n v="95"/>
    <x v="0"/>
    <n v="45000"/>
    <x v="0"/>
    <s v="Excellent"/>
  </r>
  <r>
    <n v="35"/>
    <x v="34"/>
    <x v="1"/>
    <x v="2"/>
    <x v="34"/>
    <n v="7"/>
    <n v="9"/>
    <n v="76"/>
    <x v="0"/>
    <n v="28000"/>
    <x v="1"/>
    <s v="Average"/>
  </r>
  <r>
    <n v="36"/>
    <x v="35"/>
    <x v="3"/>
    <x v="3"/>
    <x v="35"/>
    <n v="8"/>
    <n v="12"/>
    <n v="84"/>
    <x v="0"/>
    <n v="40000"/>
    <x v="0"/>
    <s v="Good"/>
  </r>
  <r>
    <n v="37"/>
    <x v="36"/>
    <x v="0"/>
    <x v="0"/>
    <x v="36"/>
    <n v="8"/>
    <n v="10"/>
    <n v="80"/>
    <x v="0"/>
    <n v="30000"/>
    <x v="0"/>
    <s v="Good"/>
  </r>
  <r>
    <n v="38"/>
    <x v="37"/>
    <x v="2"/>
    <x v="1"/>
    <x v="37"/>
    <n v="9"/>
    <n v="15"/>
    <n v="93"/>
    <x v="0"/>
    <n v="45000"/>
    <x v="0"/>
    <s v="Excellent"/>
  </r>
  <r>
    <n v="39"/>
    <x v="38"/>
    <x v="1"/>
    <x v="2"/>
    <x v="38"/>
    <n v="7"/>
    <n v="8"/>
    <n v="72"/>
    <x v="0"/>
    <n v="28000"/>
    <x v="1"/>
    <s v="Average"/>
  </r>
  <r>
    <n v="40"/>
    <x v="39"/>
    <x v="3"/>
    <x v="3"/>
    <x v="39"/>
    <n v="8"/>
    <n v="13"/>
    <n v="88"/>
    <x v="0"/>
    <n v="40000"/>
    <x v="0"/>
    <s v="Good"/>
  </r>
  <r>
    <n v="41"/>
    <x v="40"/>
    <x v="0"/>
    <x v="0"/>
    <x v="40"/>
    <n v="8"/>
    <n v="11"/>
    <n v="82"/>
    <x v="0"/>
    <n v="30000"/>
    <x v="0"/>
    <s v="Good"/>
  </r>
  <r>
    <n v="42"/>
    <x v="41"/>
    <x v="2"/>
    <x v="1"/>
    <x v="41"/>
    <n v="9"/>
    <n v="16"/>
    <n v="96"/>
    <x v="0"/>
    <n v="45000"/>
    <x v="0"/>
    <s v="Excellent"/>
  </r>
  <r>
    <n v="43"/>
    <x v="42"/>
    <x v="1"/>
    <x v="2"/>
    <x v="42"/>
    <n v="7"/>
    <n v="9"/>
    <n v="75"/>
    <x v="0"/>
    <n v="28000"/>
    <x v="1"/>
    <s v="Average"/>
  </r>
  <r>
    <n v="44"/>
    <x v="43"/>
    <x v="3"/>
    <x v="3"/>
    <x v="43"/>
    <n v="8"/>
    <n v="12"/>
    <n v="85"/>
    <x v="0"/>
    <n v="40000"/>
    <x v="0"/>
    <s v="Good"/>
  </r>
  <r>
    <n v="45"/>
    <x v="44"/>
    <x v="0"/>
    <x v="0"/>
    <x v="44"/>
    <n v="6"/>
    <n v="7"/>
    <n v="70"/>
    <x v="0"/>
    <n v="30000"/>
    <x v="0"/>
    <s v="Average"/>
  </r>
  <r>
    <n v="46"/>
    <x v="45"/>
    <x v="2"/>
    <x v="1"/>
    <x v="45"/>
    <n v="9"/>
    <n v="15"/>
    <n v="92"/>
    <x v="0"/>
    <n v="45000"/>
    <x v="0"/>
    <s v="Excellent"/>
  </r>
  <r>
    <n v="47"/>
    <x v="46"/>
    <x v="1"/>
    <x v="2"/>
    <x v="46"/>
    <n v="7"/>
    <n v="8"/>
    <n v="73"/>
    <x v="0"/>
    <n v="28000"/>
    <x v="1"/>
    <s v="Average"/>
  </r>
  <r>
    <n v="48"/>
    <x v="47"/>
    <x v="3"/>
    <x v="3"/>
    <x v="47"/>
    <n v="8"/>
    <n v="13"/>
    <n v="86"/>
    <x v="0"/>
    <n v="40000"/>
    <x v="0"/>
    <s v="Good"/>
  </r>
  <r>
    <n v="49"/>
    <x v="48"/>
    <x v="0"/>
    <x v="0"/>
    <x v="48"/>
    <n v="8"/>
    <n v="10"/>
    <n v="79"/>
    <x v="0"/>
    <n v="30000"/>
    <x v="0"/>
    <s v="Average"/>
  </r>
  <r>
    <n v="50"/>
    <x v="49"/>
    <x v="2"/>
    <x v="1"/>
    <x v="49"/>
    <n v="9"/>
    <n v="16"/>
    <n v="94"/>
    <x v="0"/>
    <n v="45000"/>
    <x v="0"/>
    <s v="Excellent"/>
  </r>
  <r>
    <n v="51"/>
    <x v="50"/>
    <x v="1"/>
    <x v="2"/>
    <x v="50"/>
    <n v="7"/>
    <n v="9"/>
    <n v="76"/>
    <x v="0"/>
    <n v="28000"/>
    <x v="1"/>
    <s v="Average"/>
  </r>
  <r>
    <n v="52"/>
    <x v="51"/>
    <x v="3"/>
    <x v="3"/>
    <x v="51"/>
    <n v="8"/>
    <n v="12"/>
    <n v="85"/>
    <x v="0"/>
    <n v="40000"/>
    <x v="0"/>
    <s v="Good"/>
  </r>
  <r>
    <n v="53"/>
    <x v="52"/>
    <x v="0"/>
    <x v="0"/>
    <x v="52"/>
    <n v="8"/>
    <n v="11"/>
    <n v="81"/>
    <x v="0"/>
    <n v="30000"/>
    <x v="0"/>
    <s v="Good"/>
  </r>
  <r>
    <n v="54"/>
    <x v="53"/>
    <x v="2"/>
    <x v="1"/>
    <x v="53"/>
    <n v="9"/>
    <n v="15"/>
    <n v="93"/>
    <x v="0"/>
    <n v="45000"/>
    <x v="0"/>
    <s v="Excellent"/>
  </r>
  <r>
    <n v="55"/>
    <x v="54"/>
    <x v="1"/>
    <x v="2"/>
    <x v="54"/>
    <n v="7"/>
    <n v="8"/>
    <n v="74"/>
    <x v="0"/>
    <n v="28000"/>
    <x v="1"/>
    <s v="Average"/>
  </r>
  <r>
    <n v="56"/>
    <x v="55"/>
    <x v="3"/>
    <x v="3"/>
    <x v="55"/>
    <n v="8"/>
    <n v="13"/>
    <n v="88"/>
    <x v="0"/>
    <n v="40000"/>
    <x v="0"/>
    <s v="Good"/>
  </r>
  <r>
    <n v="57"/>
    <x v="56"/>
    <x v="0"/>
    <x v="0"/>
    <x v="56"/>
    <n v="6"/>
    <n v="7"/>
    <n v="68"/>
    <x v="0"/>
    <n v="30000"/>
    <x v="0"/>
    <s v="Poor"/>
  </r>
  <r>
    <n v="58"/>
    <x v="57"/>
    <x v="2"/>
    <x v="1"/>
    <x v="57"/>
    <n v="9"/>
    <n v="16"/>
    <n v="95"/>
    <x v="0"/>
    <n v="45000"/>
    <x v="0"/>
    <s v="Excellent"/>
  </r>
  <r>
    <n v="59"/>
    <x v="58"/>
    <x v="1"/>
    <x v="2"/>
    <x v="58"/>
    <n v="7"/>
    <n v="9"/>
    <n v="75"/>
    <x v="0"/>
    <n v="28000"/>
    <x v="1"/>
    <s v="Average"/>
  </r>
  <r>
    <n v="60"/>
    <x v="59"/>
    <x v="3"/>
    <x v="3"/>
    <x v="59"/>
    <n v="8"/>
    <n v="12"/>
    <n v="86"/>
    <x v="0"/>
    <n v="40000"/>
    <x v="0"/>
    <s v="Good"/>
  </r>
  <r>
    <n v="61"/>
    <x v="60"/>
    <x v="0"/>
    <x v="0"/>
    <x v="60"/>
    <n v="8"/>
    <n v="12"/>
    <n v="84"/>
    <x v="0"/>
    <n v="30000"/>
    <x v="0"/>
    <s v="Good"/>
  </r>
  <r>
    <n v="62"/>
    <x v="61"/>
    <x v="1"/>
    <x v="1"/>
    <x v="61"/>
    <n v="7"/>
    <n v="10"/>
    <n v="77"/>
    <x v="0"/>
    <n v="28000"/>
    <x v="1"/>
    <s v="Average"/>
  </r>
  <r>
    <n v="63"/>
    <x v="62"/>
    <x v="2"/>
    <x v="2"/>
    <x v="62"/>
    <n v="9"/>
    <n v="15"/>
    <n v="91"/>
    <x v="0"/>
    <n v="45000"/>
    <x v="0"/>
    <s v="Excellent"/>
  </r>
  <r>
    <n v="64"/>
    <x v="63"/>
    <x v="3"/>
    <x v="3"/>
    <x v="63"/>
    <n v="8"/>
    <n v="11"/>
    <n v="87"/>
    <x v="0"/>
    <n v="40000"/>
    <x v="0"/>
    <s v="Good"/>
  </r>
  <r>
    <n v="65"/>
    <x v="64"/>
    <x v="0"/>
    <x v="0"/>
    <x v="64"/>
    <n v="6"/>
    <n v="8"/>
    <n v="71"/>
    <x v="0"/>
    <n v="30000"/>
    <x v="0"/>
    <s v="Average"/>
  </r>
  <r>
    <n v="66"/>
    <x v="65"/>
    <x v="2"/>
    <x v="1"/>
    <x v="65"/>
    <n v="9"/>
    <n v="14"/>
    <n v="90"/>
    <x v="0"/>
    <n v="45000"/>
    <x v="0"/>
    <s v="Excellent"/>
  </r>
  <r>
    <n v="67"/>
    <x v="66"/>
    <x v="1"/>
    <x v="2"/>
    <x v="66"/>
    <n v="7"/>
    <n v="9"/>
    <n v="76"/>
    <x v="0"/>
    <n v="28000"/>
    <x v="1"/>
    <s v="Average"/>
  </r>
  <r>
    <n v="68"/>
    <x v="67"/>
    <x v="3"/>
    <x v="3"/>
    <x v="67"/>
    <n v="8"/>
    <n v="13"/>
    <n v="86"/>
    <x v="0"/>
    <n v="40000"/>
    <x v="0"/>
    <s v="Good"/>
  </r>
  <r>
    <n v="69"/>
    <x v="68"/>
    <x v="0"/>
    <x v="0"/>
    <x v="68"/>
    <n v="8"/>
    <n v="10"/>
    <n v="80"/>
    <x v="0"/>
    <n v="30000"/>
    <x v="0"/>
    <s v="Good"/>
  </r>
  <r>
    <n v="70"/>
    <x v="69"/>
    <x v="2"/>
    <x v="1"/>
    <x v="69"/>
    <n v="9"/>
    <n v="16"/>
    <n v="95"/>
    <x v="0"/>
    <n v="45000"/>
    <x v="0"/>
    <s v="Excellent"/>
  </r>
  <r>
    <n v="71"/>
    <x v="70"/>
    <x v="1"/>
    <x v="2"/>
    <x v="70"/>
    <n v="7"/>
    <n v="9"/>
    <n v="74"/>
    <x v="0"/>
    <n v="28000"/>
    <x v="1"/>
    <s v="Average"/>
  </r>
  <r>
    <n v="72"/>
    <x v="71"/>
    <x v="3"/>
    <x v="3"/>
    <x v="71"/>
    <n v="8"/>
    <n v="12"/>
    <n v="84"/>
    <x v="0"/>
    <n v="40000"/>
    <x v="0"/>
    <s v="Good"/>
  </r>
  <r>
    <n v="73"/>
    <x v="72"/>
    <x v="0"/>
    <x v="0"/>
    <x v="72"/>
    <n v="6"/>
    <n v="7"/>
    <n v="69"/>
    <x v="0"/>
    <n v="30000"/>
    <x v="0"/>
    <s v="Poor"/>
  </r>
  <r>
    <n v="74"/>
    <x v="73"/>
    <x v="2"/>
    <x v="1"/>
    <x v="73"/>
    <n v="9"/>
    <n v="15"/>
    <n v="92"/>
    <x v="0"/>
    <n v="45000"/>
    <x v="0"/>
    <s v="Excellent"/>
  </r>
  <r>
    <n v="75"/>
    <x v="74"/>
    <x v="1"/>
    <x v="2"/>
    <x v="74"/>
    <n v="7"/>
    <n v="8"/>
    <n v="72"/>
    <x v="0"/>
    <n v="28000"/>
    <x v="1"/>
    <s v="Average"/>
  </r>
  <r>
    <n v="76"/>
    <x v="75"/>
    <x v="3"/>
    <x v="3"/>
    <x v="75"/>
    <n v="8"/>
    <n v="13"/>
    <n v="87"/>
    <x v="0"/>
    <n v="40000"/>
    <x v="0"/>
    <s v="Good"/>
  </r>
  <r>
    <n v="77"/>
    <x v="76"/>
    <x v="0"/>
    <x v="0"/>
    <x v="76"/>
    <n v="8"/>
    <n v="11"/>
    <n v="82"/>
    <x v="0"/>
    <n v="30000"/>
    <x v="0"/>
    <s v="Good"/>
  </r>
  <r>
    <n v="78"/>
    <x v="77"/>
    <x v="2"/>
    <x v="1"/>
    <x v="77"/>
    <n v="9"/>
    <n v="16"/>
    <n v="96"/>
    <x v="0"/>
    <n v="45000"/>
    <x v="0"/>
    <s v="Excellent"/>
  </r>
  <r>
    <n v="79"/>
    <x v="78"/>
    <x v="1"/>
    <x v="2"/>
    <x v="78"/>
    <n v="7"/>
    <n v="9"/>
    <n v="76"/>
    <x v="0"/>
    <n v="28000"/>
    <x v="1"/>
    <s v="Average"/>
  </r>
  <r>
    <n v="80"/>
    <x v="79"/>
    <x v="3"/>
    <x v="3"/>
    <x v="79"/>
    <n v="8"/>
    <n v="12"/>
    <n v="85"/>
    <x v="0"/>
    <n v="40000"/>
    <x v="0"/>
    <s v="Good"/>
  </r>
  <r>
    <n v="81"/>
    <x v="80"/>
    <x v="0"/>
    <x v="0"/>
    <x v="80"/>
    <n v="8"/>
    <n v="10"/>
    <n v="79"/>
    <x v="0"/>
    <n v="30000"/>
    <x v="0"/>
    <s v="Average"/>
  </r>
  <r>
    <n v="82"/>
    <x v="81"/>
    <x v="2"/>
    <x v="1"/>
    <x v="81"/>
    <n v="9"/>
    <n v="15"/>
    <n v="93"/>
    <x v="0"/>
    <n v="45000"/>
    <x v="0"/>
    <s v="Excellent"/>
  </r>
  <r>
    <n v="83"/>
    <x v="82"/>
    <x v="1"/>
    <x v="2"/>
    <x v="82"/>
    <n v="7"/>
    <n v="8"/>
    <n v="73"/>
    <x v="0"/>
    <n v="28000"/>
    <x v="1"/>
    <s v="Average"/>
  </r>
  <r>
    <n v="84"/>
    <x v="83"/>
    <x v="3"/>
    <x v="3"/>
    <x v="83"/>
    <n v="8"/>
    <n v="13"/>
    <n v="88"/>
    <x v="0"/>
    <n v="40000"/>
    <x v="0"/>
    <s v="Good"/>
  </r>
  <r>
    <n v="85"/>
    <x v="84"/>
    <x v="0"/>
    <x v="0"/>
    <x v="84"/>
    <n v="6"/>
    <n v="7"/>
    <n v="70"/>
    <x v="0"/>
    <n v="30000"/>
    <x v="0"/>
    <s v="Average"/>
  </r>
  <r>
    <n v="86"/>
    <x v="85"/>
    <x v="2"/>
    <x v="1"/>
    <x v="85"/>
    <n v="9"/>
    <n v="16"/>
    <n v="94"/>
    <x v="0"/>
    <n v="45000"/>
    <x v="0"/>
    <s v="Excellent"/>
  </r>
  <r>
    <n v="87"/>
    <x v="86"/>
    <x v="1"/>
    <x v="2"/>
    <x v="86"/>
    <n v="7"/>
    <n v="9"/>
    <n v="75"/>
    <x v="0"/>
    <n v="28000"/>
    <x v="1"/>
    <s v="Average"/>
  </r>
  <r>
    <n v="88"/>
    <x v="87"/>
    <x v="3"/>
    <x v="3"/>
    <x v="87"/>
    <n v="8"/>
    <n v="12"/>
    <n v="86"/>
    <x v="0"/>
    <n v="40000"/>
    <x v="0"/>
    <s v="Good"/>
  </r>
  <r>
    <n v="89"/>
    <x v="88"/>
    <x v="0"/>
    <x v="0"/>
    <x v="88"/>
    <n v="8"/>
    <n v="11"/>
    <n v="81"/>
    <x v="0"/>
    <n v="30000"/>
    <x v="0"/>
    <s v="Good"/>
  </r>
  <r>
    <n v="90"/>
    <x v="89"/>
    <x v="2"/>
    <x v="1"/>
    <x v="89"/>
    <n v="9"/>
    <n v="15"/>
    <n v="92"/>
    <x v="0"/>
    <n v="45000"/>
    <x v="0"/>
    <s v="Excellent"/>
  </r>
  <r>
    <n v="91"/>
    <x v="90"/>
    <x v="1"/>
    <x v="2"/>
    <x v="90"/>
    <n v="7"/>
    <n v="8"/>
    <n v="74"/>
    <x v="0"/>
    <n v="28000"/>
    <x v="1"/>
    <s v="Average"/>
  </r>
  <r>
    <n v="92"/>
    <x v="91"/>
    <x v="3"/>
    <x v="3"/>
    <x v="91"/>
    <n v="8"/>
    <n v="13"/>
    <n v="87"/>
    <x v="0"/>
    <n v="40000"/>
    <x v="0"/>
    <s v="Good"/>
  </r>
  <r>
    <n v="93"/>
    <x v="92"/>
    <x v="0"/>
    <x v="0"/>
    <x v="92"/>
    <n v="6"/>
    <n v="7"/>
    <n v="67"/>
    <x v="0"/>
    <n v="30000"/>
    <x v="0"/>
    <s v="Poor"/>
  </r>
  <r>
    <n v="94"/>
    <x v="93"/>
    <x v="2"/>
    <x v="1"/>
    <x v="93"/>
    <n v="9"/>
    <n v="16"/>
    <n v="95"/>
    <x v="0"/>
    <n v="45000"/>
    <x v="0"/>
    <s v="Excellent"/>
  </r>
  <r>
    <n v="95"/>
    <x v="94"/>
    <x v="1"/>
    <x v="2"/>
    <x v="94"/>
    <n v="7"/>
    <n v="9"/>
    <n v="76"/>
    <x v="0"/>
    <n v="28000"/>
    <x v="1"/>
    <s v="Average"/>
  </r>
  <r>
    <n v="96"/>
    <x v="95"/>
    <x v="3"/>
    <x v="3"/>
    <x v="95"/>
    <n v="8"/>
    <n v="12"/>
    <n v="84"/>
    <x v="0"/>
    <n v="40000"/>
    <x v="0"/>
    <s v="Good"/>
  </r>
  <r>
    <n v="97"/>
    <x v="96"/>
    <x v="0"/>
    <x v="0"/>
    <x v="96"/>
    <n v="8"/>
    <n v="10"/>
    <n v="80"/>
    <x v="0"/>
    <n v="30000"/>
    <x v="0"/>
    <s v="Good"/>
  </r>
  <r>
    <n v="98"/>
    <x v="97"/>
    <x v="2"/>
    <x v="1"/>
    <x v="97"/>
    <n v="9"/>
    <n v="15"/>
    <n v="93"/>
    <x v="0"/>
    <n v="45000"/>
    <x v="0"/>
    <s v="Excellent"/>
  </r>
  <r>
    <n v="99"/>
    <x v="98"/>
    <x v="1"/>
    <x v="2"/>
    <x v="98"/>
    <n v="7"/>
    <n v="8"/>
    <n v="72"/>
    <x v="0"/>
    <n v="28000"/>
    <x v="1"/>
    <s v="Average"/>
  </r>
  <r>
    <n v="100"/>
    <x v="99"/>
    <x v="3"/>
    <x v="3"/>
    <x v="99"/>
    <n v="8"/>
    <n v="13"/>
    <n v="88"/>
    <x v="0"/>
    <n v="40000"/>
    <x v="0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B138" firstHeaderRow="1" firstDataRow="1" firstDataCol="1"/>
  <pivotFields count="14">
    <pivotField showAll="0"/>
    <pivotField axis="axisRow" showAll="0" sortType="descending">
      <items count="101">
        <item x="97"/>
        <item x="42"/>
        <item x="28"/>
        <item x="83"/>
        <item x="34"/>
        <item x="89"/>
        <item x="20"/>
        <item x="75"/>
        <item x="55"/>
        <item x="0"/>
        <item x="7"/>
        <item x="62"/>
        <item x="30"/>
        <item x="85"/>
        <item x="53"/>
        <item x="14"/>
        <item x="69"/>
        <item x="10"/>
        <item x="65"/>
        <item x="96"/>
        <item x="41"/>
        <item x="72"/>
        <item x="50"/>
        <item x="17"/>
        <item x="47"/>
        <item x="26"/>
        <item x="81"/>
        <item x="11"/>
        <item x="66"/>
        <item x="48"/>
        <item x="19"/>
        <item x="74"/>
        <item x="8"/>
        <item x="63"/>
        <item x="54"/>
        <item x="84"/>
        <item x="29"/>
        <item x="93"/>
        <item x="38"/>
        <item x="49"/>
        <item x="73"/>
        <item x="18"/>
        <item x="43"/>
        <item x="98"/>
        <item x="68"/>
        <item x="13"/>
        <item x="52"/>
        <item x="39"/>
        <item x="94"/>
        <item x="32"/>
        <item x="87"/>
        <item x="90"/>
        <item x="35"/>
        <item x="56"/>
        <item x="1"/>
        <item x="76"/>
        <item x="21"/>
        <item x="37"/>
        <item x="92"/>
        <item x="9"/>
        <item x="64"/>
        <item x="58"/>
        <item x="3"/>
        <item x="25"/>
        <item x="80"/>
        <item x="2"/>
        <item x="57"/>
        <item x="79"/>
        <item x="24"/>
        <item x="33"/>
        <item x="88"/>
        <item x="44"/>
        <item x="99"/>
        <item x="15"/>
        <item x="70"/>
        <item x="61"/>
        <item x="6"/>
        <item x="12"/>
        <item x="67"/>
        <item x="51"/>
        <item x="36"/>
        <item x="91"/>
        <item x="46"/>
        <item x="27"/>
        <item x="82"/>
        <item x="23"/>
        <item x="78"/>
        <item x="5"/>
        <item x="60"/>
        <item x="95"/>
        <item x="40"/>
        <item x="31"/>
        <item x="86"/>
        <item x="22"/>
        <item x="77"/>
        <item x="4"/>
        <item x="59"/>
        <item x="45"/>
        <item x="16"/>
        <item x="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01">
    <i>
      <x v="20"/>
    </i>
    <i>
      <x v="94"/>
    </i>
    <i>
      <x v="23"/>
    </i>
    <i>
      <x v="66"/>
    </i>
    <i>
      <x v="59"/>
    </i>
    <i>
      <x v="69"/>
    </i>
    <i>
      <x v="16"/>
    </i>
    <i>
      <x v="37"/>
    </i>
    <i>
      <x v="39"/>
    </i>
    <i>
      <x v="63"/>
    </i>
    <i>
      <x v="13"/>
    </i>
    <i>
      <x v="14"/>
    </i>
    <i>
      <x v="26"/>
    </i>
    <i>
      <x v="56"/>
    </i>
    <i>
      <x v="57"/>
    </i>
    <i>
      <x/>
    </i>
    <i>
      <x v="40"/>
    </i>
    <i>
      <x v="65"/>
    </i>
    <i>
      <x v="97"/>
    </i>
    <i>
      <x v="5"/>
    </i>
    <i>
      <x v="36"/>
    </i>
    <i>
      <x v="11"/>
    </i>
    <i>
      <x v="45"/>
    </i>
    <i>
      <x v="87"/>
    </i>
    <i>
      <x v="18"/>
    </i>
    <i>
      <x v="72"/>
    </i>
    <i>
      <x v="8"/>
    </i>
    <i>
      <x v="85"/>
    </i>
    <i>
      <x v="47"/>
    </i>
    <i>
      <x v="62"/>
    </i>
    <i>
      <x v="3"/>
    </i>
    <i>
      <x v="33"/>
    </i>
    <i>
      <x v="7"/>
    </i>
    <i>
      <x v="91"/>
    </i>
    <i>
      <x v="73"/>
    </i>
    <i>
      <x v="81"/>
    </i>
    <i>
      <x v="50"/>
    </i>
    <i>
      <x v="83"/>
    </i>
    <i>
      <x v="96"/>
    </i>
    <i>
      <x v="24"/>
    </i>
    <i>
      <x v="78"/>
    </i>
    <i>
      <x v="10"/>
    </i>
    <i>
      <x v="42"/>
    </i>
    <i>
      <x v="67"/>
    </i>
    <i>
      <x v="79"/>
    </i>
    <i>
      <x v="9"/>
    </i>
    <i>
      <x v="30"/>
    </i>
    <i>
      <x v="27"/>
    </i>
    <i>
      <x v="89"/>
    </i>
    <i>
      <x v="52"/>
    </i>
    <i>
      <x v="88"/>
    </i>
    <i>
      <x v="99"/>
    </i>
    <i>
      <x v="98"/>
    </i>
    <i>
      <x v="90"/>
    </i>
    <i>
      <x v="55"/>
    </i>
    <i>
      <x v="46"/>
    </i>
    <i>
      <x v="2"/>
    </i>
    <i>
      <x v="70"/>
    </i>
    <i>
      <x v="80"/>
    </i>
    <i>
      <x v="32"/>
    </i>
    <i>
      <x v="44"/>
    </i>
    <i>
      <x v="19"/>
    </i>
    <i>
      <x v="29"/>
    </i>
    <i>
      <x v="6"/>
    </i>
    <i>
      <x v="64"/>
    </i>
    <i>
      <x v="54"/>
    </i>
    <i>
      <x v="75"/>
    </i>
    <i>
      <x v="48"/>
    </i>
    <i>
      <x v="4"/>
    </i>
    <i>
      <x v="86"/>
    </i>
    <i>
      <x v="22"/>
    </i>
    <i>
      <x v="41"/>
    </i>
    <i>
      <x v="28"/>
    </i>
    <i>
      <x v="76"/>
    </i>
    <i>
      <x v="1"/>
    </i>
    <i>
      <x v="92"/>
    </i>
    <i>
      <x v="61"/>
    </i>
    <i>
      <x v="25"/>
    </i>
    <i>
      <x v="17"/>
    </i>
    <i>
      <x v="51"/>
    </i>
    <i>
      <x v="12"/>
    </i>
    <i>
      <x v="74"/>
    </i>
    <i>
      <x v="34"/>
    </i>
    <i>
      <x v="93"/>
    </i>
    <i>
      <x v="82"/>
    </i>
    <i>
      <x v="84"/>
    </i>
    <i>
      <x v="15"/>
    </i>
    <i>
      <x v="31"/>
    </i>
    <i>
      <x v="38"/>
    </i>
    <i>
      <x v="43"/>
    </i>
    <i>
      <x v="60"/>
    </i>
    <i>
      <x v="35"/>
    </i>
    <i>
      <x v="95"/>
    </i>
    <i>
      <x v="71"/>
    </i>
    <i>
      <x v="21"/>
    </i>
    <i>
      <x v="68"/>
    </i>
    <i>
      <x v="53"/>
    </i>
    <i>
      <x v="77"/>
    </i>
    <i>
      <x v="58"/>
    </i>
    <i>
      <x v="49"/>
    </i>
    <i t="grand">
      <x/>
    </i>
  </rowItems>
  <colItems count="1">
    <i/>
  </colItems>
  <dataFields count="1">
    <dataField name="Sum of Score" fld="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dataField="1" showAll="0"/>
    <pivotField showAll="0">
      <items count="2"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Sum of Score" fld="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12:C17" firstHeaderRow="0" firstDataRow="1" firstDataCol="1"/>
  <pivotFields count="14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9" baseField="0" baseItem="0"/>
    <dataField name="Average of Score" fld="7" subtotal="average" baseField="3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1:B26" firstHeaderRow="1" firstDataRow="1" firstDataCol="1"/>
  <pivotFields count="14">
    <pivotField dataField="1" showAll="0"/>
    <pivotField showAll="0"/>
    <pivotField showAll="0"/>
    <pivotField showAll="0"/>
    <pivotField axis="axisRow"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ID" fld="0" subtotal="count" baseField="13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B33" firstHeaderRow="1" firstDataRow="1" firstDataCol="1"/>
  <pivotFields count="14">
    <pivotField dataField="1" showAll="0"/>
    <pivotField showAll="0"/>
    <pivotField showAll="0"/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baseField="1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L101" totalsRowShown="0">
  <autoFilter ref="A1:L101" xr:uid="{00000000-0009-0000-0100-000001000000}"/>
  <tableColumns count="12">
    <tableColumn id="1" xr3:uid="{00000000-0010-0000-0000-000001000000}" name="EmployeeID"/>
    <tableColumn id="2" xr3:uid="{00000000-0010-0000-0000-000002000000}" name="Name"/>
    <tableColumn id="3" xr3:uid="{00000000-0010-0000-0000-000003000000}" name="Department"/>
    <tableColumn id="4" xr3:uid="{00000000-0010-0000-0000-000004000000}" name="Region"/>
    <tableColumn id="5" xr3:uid="{00000000-0010-0000-0000-000005000000}" name="Date" dataDxfId="1"/>
    <tableColumn id="6" xr3:uid="{00000000-0010-0000-0000-000006000000}" name="Hours"/>
    <tableColumn id="7" xr3:uid="{00000000-0010-0000-0000-000007000000}" name="Tasks"/>
    <tableColumn id="8" xr3:uid="{00000000-0010-0000-0000-000008000000}" name="Score"/>
    <tableColumn id="9" xr3:uid="{00000000-0010-0000-0000-000009000000}" name="Status"/>
    <tableColumn id="10" xr3:uid="{00000000-0010-0000-0000-00000A000000}" name="Salary"/>
    <tableColumn id="11" xr3:uid="{00000000-0010-0000-0000-00000B000000}" name="Bonus">
      <calculatedColumnFormula>IF(J2&gt;=30000,"Yes","No")</calculatedColumnFormula>
    </tableColumn>
    <tableColumn id="12" xr3:uid="{00000000-0010-0000-0000-00000C000000}" name="Performance Level" dataDxfId="0">
      <calculatedColumnFormula>IF(H2&gt;=90,"Excellent",IF(H2&gt;=80,"Good",IF(H2&gt;=70,"Average","Poor")))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59"/>
  <sheetViews>
    <sheetView showGridLines="0" tabSelected="1" workbookViewId="0">
      <pane xSplit="1" ySplit="3" topLeftCell="B4" activePane="bottomRight" state="frozen"/>
      <selection activeCell="E29" sqref="E29"/>
      <selection pane="topRight" activeCell="E29" sqref="E29"/>
      <selection pane="bottomLeft" activeCell="E29" sqref="E29"/>
      <selection pane="bottomRight" activeCell="K31" sqref="K31"/>
    </sheetView>
  </sheetViews>
  <sheetFormatPr defaultRowHeight="14.5" x14ac:dyDescent="0.35"/>
  <cols>
    <col min="1" max="1" width="3" bestFit="1" customWidth="1"/>
    <col min="2" max="2" width="16" bestFit="1" customWidth="1"/>
    <col min="3" max="3" width="10" customWidth="1"/>
    <col min="4" max="5" width="12" customWidth="1"/>
    <col min="6" max="6" width="13" customWidth="1"/>
    <col min="7" max="8" width="14" customWidth="1"/>
    <col min="9" max="9" width="12" customWidth="1"/>
    <col min="10" max="10" width="10" customWidth="1"/>
    <col min="11" max="11" width="14.1796875" bestFit="1" customWidth="1"/>
    <col min="12" max="12" width="12" customWidth="1"/>
    <col min="13" max="13" width="14" customWidth="1"/>
    <col min="14" max="14" width="18" customWidth="1"/>
    <col min="15" max="15" width="14" customWidth="1"/>
    <col min="16" max="16" width="12" customWidth="1"/>
    <col min="17" max="18" width="10" customWidth="1"/>
    <col min="19" max="21" width="14" customWidth="1"/>
  </cols>
  <sheetData>
    <row r="1" spans="2:18" ht="20" customHeight="1" x14ac:dyDescent="0.35"/>
    <row r="2" spans="2:18" ht="26" customHeight="1" x14ac:dyDescent="0.35">
      <c r="B2" s="3" t="s">
        <v>0</v>
      </c>
    </row>
    <row r="3" spans="2:18" ht="8" customHeight="1" x14ac:dyDescent="0.35">
      <c r="B3" s="4" t="s">
        <v>1</v>
      </c>
      <c r="F3" s="4" t="s">
        <v>2</v>
      </c>
      <c r="J3" s="4" t="s">
        <v>3</v>
      </c>
    </row>
    <row r="4" spans="2:18" ht="24" customHeight="1" x14ac:dyDescent="0.35"/>
    <row r="5" spans="2:18" ht="20" customHeight="1" x14ac:dyDescent="0.35">
      <c r="B5" s="5" t="s">
        <v>4</v>
      </c>
    </row>
    <row r="6" spans="2:18" ht="20" customHeight="1" x14ac:dyDescent="0.35">
      <c r="B6" s="6" t="s">
        <v>5</v>
      </c>
    </row>
    <row r="7" spans="2:18" ht="20" customHeight="1" x14ac:dyDescent="0.35">
      <c r="B7" s="6" t="s">
        <v>6</v>
      </c>
    </row>
    <row r="8" spans="2:18" ht="20" customHeight="1" x14ac:dyDescent="0.35">
      <c r="B8" s="6" t="s">
        <v>7</v>
      </c>
    </row>
    <row r="9" spans="2:18" ht="20" customHeight="1" x14ac:dyDescent="0.35">
      <c r="B9" s="6" t="s">
        <v>8</v>
      </c>
    </row>
    <row r="10" spans="2:18" ht="20" customHeight="1" x14ac:dyDescent="0.35"/>
    <row r="11" spans="2:18" ht="20" customHeight="1" x14ac:dyDescent="0.35">
      <c r="B11" s="7" t="s">
        <v>9</v>
      </c>
      <c r="C11" s="8"/>
      <c r="E11" s="7" t="s">
        <v>10</v>
      </c>
      <c r="F11" s="8"/>
      <c r="H11" s="7" t="s">
        <v>11</v>
      </c>
      <c r="I11" s="8"/>
      <c r="K11" s="7" t="s">
        <v>12</v>
      </c>
      <c r="L11" s="8"/>
      <c r="N11" s="7" t="s">
        <v>13</v>
      </c>
      <c r="O11" s="8"/>
      <c r="Q11" s="7" t="s">
        <v>14</v>
      </c>
      <c r="R11" s="8"/>
    </row>
    <row r="12" spans="2:18" ht="20" customHeight="1" x14ac:dyDescent="0.5">
      <c r="B12" s="9">
        <f>COUNTA(EmployeeData!A2:A101)</f>
        <v>100</v>
      </c>
      <c r="C12" s="8"/>
      <c r="E12" s="9">
        <f>COUNTIF(EmployeeData!I2:I101,"Active")</f>
        <v>100</v>
      </c>
      <c r="F12" s="8"/>
      <c r="H12" s="10">
        <f>AVERAGE(EmployeeData!H2:H101)</f>
        <v>82.54</v>
      </c>
      <c r="I12" s="8"/>
      <c r="K12" s="11">
        <f>SUM(EmployeeData!J2:J101)</f>
        <v>3575000</v>
      </c>
      <c r="L12" s="8"/>
      <c r="N12" s="25">
        <f>COUNTIF(EmployeeData!K2:K101,"Yes")</f>
        <v>75</v>
      </c>
      <c r="O12" s="8"/>
      <c r="Q12" s="9">
        <f>COUNTIF(EmployeeData!L2:L101,"Excellent")</f>
        <v>25</v>
      </c>
      <c r="R12" s="8"/>
    </row>
    <row r="13" spans="2:18" ht="20" customHeight="1" x14ac:dyDescent="0.35">
      <c r="B13" s="12"/>
      <c r="C13" s="8"/>
      <c r="E13" s="12"/>
      <c r="F13" s="8"/>
      <c r="H13" s="12"/>
      <c r="I13" s="8"/>
      <c r="K13" s="12"/>
      <c r="L13" s="8"/>
      <c r="N13" s="12"/>
      <c r="O13" s="8"/>
      <c r="Q13" s="12"/>
      <c r="R13" s="8"/>
    </row>
    <row r="14" spans="2:18" ht="20" customHeight="1" x14ac:dyDescent="0.35"/>
    <row r="15" spans="2:18" ht="20" customHeight="1" x14ac:dyDescent="0.3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2:18" ht="20" customHeight="1" x14ac:dyDescent="0.35"/>
    <row r="17" spans="2:18" ht="20" customHeight="1" x14ac:dyDescent="0.35">
      <c r="B17" s="5" t="s">
        <v>15</v>
      </c>
      <c r="I17" s="5" t="s">
        <v>16</v>
      </c>
      <c r="N17" s="5" t="s">
        <v>17</v>
      </c>
    </row>
    <row r="18" spans="2:18" ht="20" customHeight="1" x14ac:dyDescent="0.35">
      <c r="B18" s="14" t="s">
        <v>18</v>
      </c>
      <c r="C18" s="14" t="s">
        <v>19</v>
      </c>
      <c r="D18" s="14" t="s">
        <v>20</v>
      </c>
      <c r="E18" s="14" t="s">
        <v>21</v>
      </c>
      <c r="F18" s="14" t="s">
        <v>12</v>
      </c>
      <c r="I18" s="14" t="s">
        <v>22</v>
      </c>
      <c r="J18" s="14" t="s">
        <v>19</v>
      </c>
      <c r="K18" s="14" t="s">
        <v>20</v>
      </c>
      <c r="L18" s="14" t="s">
        <v>23</v>
      </c>
      <c r="N18" s="14" t="s">
        <v>24</v>
      </c>
      <c r="O18" s="14" t="s">
        <v>18</v>
      </c>
      <c r="P18" s="14" t="s">
        <v>22</v>
      </c>
      <c r="Q18" s="14" t="s">
        <v>25</v>
      </c>
      <c r="R18" s="14" t="s">
        <v>26</v>
      </c>
    </row>
    <row r="19" spans="2:18" ht="20" customHeight="1" x14ac:dyDescent="0.35">
      <c r="B19" s="15" t="s">
        <v>27</v>
      </c>
      <c r="C19" s="15">
        <f>COUNTIF(EmployeeData!C2:C101,B19)</f>
        <v>25</v>
      </c>
      <c r="D19" s="16">
        <f>AVERAGEIF(EmployeeData!C2:C101,B19,EmployeeData!H2:H101)</f>
        <v>86.2</v>
      </c>
      <c r="E19" s="17">
        <f>SUMIF(EmployeeData!C2:C101,B19,EmployeeData!F2:F101)</f>
        <v>200</v>
      </c>
      <c r="F19" s="18">
        <f>SUMIF(EmployeeData!C2:C101,B19,EmployeeData!J2:J101)</f>
        <v>1000000</v>
      </c>
      <c r="I19" s="15" t="s">
        <v>28</v>
      </c>
      <c r="J19" s="15">
        <f>COUNTIF(EmployeeData!D2:D101,I19)</f>
        <v>25</v>
      </c>
      <c r="K19" s="16">
        <f>AVERAGEIF(EmployeeData!D2:D101,I19,EmployeeData!H2:H101)</f>
        <v>75.64</v>
      </c>
      <c r="L19" s="17">
        <f>SUMIF(EmployeeData!D2:D101,I19,EmployeeData!G2:G101)</f>
        <v>227</v>
      </c>
      <c r="N19" s="15" t="s">
        <v>29</v>
      </c>
      <c r="O19" s="15" t="s">
        <v>30</v>
      </c>
      <c r="P19" s="15" t="s">
        <v>31</v>
      </c>
      <c r="Q19" s="16">
        <v>96</v>
      </c>
      <c r="R19" s="17">
        <v>9</v>
      </c>
    </row>
    <row r="20" spans="2:18" ht="20" customHeight="1" x14ac:dyDescent="0.35">
      <c r="B20" s="15" t="s">
        <v>32</v>
      </c>
      <c r="C20" s="15">
        <f>COUNTIF(EmployeeData!C2:C101,B20)</f>
        <v>25</v>
      </c>
      <c r="D20" s="16">
        <f>AVERAGEIF(EmployeeData!C2:C101,B20,EmployeeData!H2:H101)</f>
        <v>74.52</v>
      </c>
      <c r="E20" s="17">
        <f>SUMIF(EmployeeData!C2:C101,B20,EmployeeData!F2:F101)</f>
        <v>175</v>
      </c>
      <c r="F20" s="18">
        <f>SUMIF(EmployeeData!C2:C101,B20,EmployeeData!J2:J101)</f>
        <v>700000</v>
      </c>
      <c r="I20" s="15" t="s">
        <v>33</v>
      </c>
      <c r="J20" s="15">
        <f>COUNTIF(EmployeeData!D2:D101,I20)</f>
        <v>25</v>
      </c>
      <c r="K20" s="16">
        <f>AVERAGEIF(EmployeeData!D2:D101,I20,EmployeeData!H2:H101)</f>
        <v>76.16</v>
      </c>
      <c r="L20" s="17">
        <f>SUMIF(EmployeeData!D2:D101,I20,EmployeeData!G2:G101)</f>
        <v>232</v>
      </c>
      <c r="N20" s="15" t="s">
        <v>34</v>
      </c>
      <c r="O20" s="15" t="s">
        <v>30</v>
      </c>
      <c r="P20" s="15" t="s">
        <v>31</v>
      </c>
      <c r="Q20" s="16">
        <v>96</v>
      </c>
      <c r="R20" s="17">
        <v>9</v>
      </c>
    </row>
    <row r="21" spans="2:18" ht="20" customHeight="1" x14ac:dyDescent="0.35">
      <c r="B21" s="15" t="s">
        <v>30</v>
      </c>
      <c r="C21" s="15">
        <f>COUNTIF(EmployeeData!C2:C101,B21)</f>
        <v>25</v>
      </c>
      <c r="D21" s="16">
        <f>AVERAGEIF(EmployeeData!C2:C101,B21,EmployeeData!H2:H101)</f>
        <v>93.28</v>
      </c>
      <c r="E21" s="17">
        <f>SUMIF(EmployeeData!C2:C101,B21,EmployeeData!F2:F101)</f>
        <v>225</v>
      </c>
      <c r="F21" s="18">
        <f>SUMIF(EmployeeData!C2:C101,B21,EmployeeData!J2:J101)</f>
        <v>1125000</v>
      </c>
      <c r="I21" s="15" t="s">
        <v>31</v>
      </c>
      <c r="J21" s="15">
        <f>COUNTIF(EmployeeData!D2:D101,I21)</f>
        <v>25</v>
      </c>
      <c r="K21" s="16">
        <f>AVERAGEIF(EmployeeData!D2:D101,I21,EmployeeData!H2:H101)</f>
        <v>92.16</v>
      </c>
      <c r="L21" s="17">
        <f>SUMIF(EmployeeData!D2:D101,I21,EmployeeData!G2:G101)</f>
        <v>374</v>
      </c>
      <c r="N21" s="15" t="s">
        <v>35</v>
      </c>
      <c r="O21" s="15" t="s">
        <v>30</v>
      </c>
      <c r="P21" s="15" t="s">
        <v>31</v>
      </c>
      <c r="Q21" s="16">
        <v>96</v>
      </c>
      <c r="R21" s="17">
        <v>9</v>
      </c>
    </row>
    <row r="22" spans="2:18" ht="20" customHeight="1" x14ac:dyDescent="0.35">
      <c r="B22" s="15" t="s">
        <v>36</v>
      </c>
      <c r="C22" s="15">
        <f>COUNTIF(EmployeeData!C2:C101,B22)</f>
        <v>25</v>
      </c>
      <c r="D22" s="16">
        <f>AVERAGEIF(EmployeeData!C2:C101,B22,EmployeeData!H2:H101)</f>
        <v>76.16</v>
      </c>
      <c r="E22" s="17">
        <f>SUMIF(EmployeeData!C2:C101,B22,EmployeeData!F2:F101)</f>
        <v>180</v>
      </c>
      <c r="F22" s="18">
        <f>SUMIF(EmployeeData!C2:C101,B22,EmployeeData!J2:J101)</f>
        <v>750000</v>
      </c>
      <c r="I22" s="15" t="s">
        <v>37</v>
      </c>
      <c r="J22" s="15">
        <f>COUNTIF(EmployeeData!D2:D101,I22)</f>
        <v>25</v>
      </c>
      <c r="K22" s="16">
        <f>AVERAGEIF(EmployeeData!D2:D101,I22,EmployeeData!H2:H101)</f>
        <v>86.2</v>
      </c>
      <c r="L22" s="17">
        <f>SUMIF(EmployeeData!D2:D101,I22,EmployeeData!G2:G101)</f>
        <v>310</v>
      </c>
      <c r="N22" s="15" t="s">
        <v>38</v>
      </c>
      <c r="O22" s="15" t="s">
        <v>30</v>
      </c>
      <c r="P22" s="15" t="s">
        <v>31</v>
      </c>
      <c r="Q22" s="16">
        <v>95</v>
      </c>
      <c r="R22" s="17">
        <v>9</v>
      </c>
    </row>
    <row r="23" spans="2:18" ht="20" customHeight="1" x14ac:dyDescent="0.35">
      <c r="N23" s="15" t="s">
        <v>39</v>
      </c>
      <c r="O23" s="15" t="s">
        <v>30</v>
      </c>
      <c r="P23" s="15" t="s">
        <v>31</v>
      </c>
      <c r="Q23" s="16">
        <v>95</v>
      </c>
      <c r="R23" s="17">
        <v>9</v>
      </c>
    </row>
    <row r="24" spans="2:18" ht="20" customHeight="1" x14ac:dyDescent="0.35">
      <c r="N24" s="15" t="s">
        <v>40</v>
      </c>
      <c r="O24" s="15" t="s">
        <v>30</v>
      </c>
      <c r="P24" s="15" t="s">
        <v>31</v>
      </c>
      <c r="Q24" s="16">
        <v>95</v>
      </c>
      <c r="R24" s="17">
        <v>9</v>
      </c>
    </row>
    <row r="25" spans="2:18" ht="20" customHeight="1" x14ac:dyDescent="0.35">
      <c r="N25" s="15" t="s">
        <v>41</v>
      </c>
      <c r="O25" s="15" t="s">
        <v>30</v>
      </c>
      <c r="P25" s="15" t="s">
        <v>31</v>
      </c>
      <c r="Q25" s="16">
        <v>95</v>
      </c>
      <c r="R25" s="17">
        <v>9</v>
      </c>
    </row>
    <row r="26" spans="2:18" ht="20" customHeight="1" x14ac:dyDescent="0.35">
      <c r="N26" s="15" t="s">
        <v>42</v>
      </c>
      <c r="O26" s="15" t="s">
        <v>30</v>
      </c>
      <c r="P26" s="15" t="s">
        <v>31</v>
      </c>
      <c r="Q26" s="16">
        <v>95</v>
      </c>
      <c r="R26" s="17">
        <v>9</v>
      </c>
    </row>
    <row r="27" spans="2:18" ht="20" customHeight="1" x14ac:dyDescent="0.35">
      <c r="N27" s="15" t="s">
        <v>43</v>
      </c>
      <c r="O27" s="15" t="s">
        <v>30</v>
      </c>
      <c r="P27" s="15" t="s">
        <v>31</v>
      </c>
      <c r="Q27" s="16">
        <v>94</v>
      </c>
      <c r="R27" s="17">
        <v>9</v>
      </c>
    </row>
    <row r="28" spans="2:18" ht="20" customHeight="1" x14ac:dyDescent="0.35">
      <c r="N28" s="15" t="s">
        <v>44</v>
      </c>
      <c r="O28" s="15" t="s">
        <v>30</v>
      </c>
      <c r="P28" s="15" t="s">
        <v>31</v>
      </c>
      <c r="Q28" s="16">
        <v>94</v>
      </c>
      <c r="R28" s="17">
        <v>9</v>
      </c>
    </row>
    <row r="29" spans="2:18" ht="20" customHeight="1" x14ac:dyDescent="0.35"/>
    <row r="30" spans="2:18" ht="20" customHeight="1" x14ac:dyDescent="0.35"/>
    <row r="31" spans="2:18" ht="20" customHeight="1" x14ac:dyDescent="0.35">
      <c r="N31" s="5" t="s">
        <v>45</v>
      </c>
    </row>
    <row r="32" spans="2:18" ht="20" customHeight="1" x14ac:dyDescent="0.35">
      <c r="N32" s="19" t="s">
        <v>46</v>
      </c>
      <c r="O32" s="19" t="s">
        <v>47</v>
      </c>
    </row>
    <row r="33" spans="14:15" ht="20" customHeight="1" x14ac:dyDescent="0.35">
      <c r="N33" t="s">
        <v>48</v>
      </c>
      <c r="O33" s="20">
        <v>25</v>
      </c>
    </row>
    <row r="34" spans="14:15" ht="20" customHeight="1" x14ac:dyDescent="0.35">
      <c r="N34" t="s">
        <v>49</v>
      </c>
      <c r="O34" s="20">
        <v>37</v>
      </c>
    </row>
    <row r="35" spans="14:15" ht="20" customHeight="1" x14ac:dyDescent="0.35">
      <c r="N35" t="s">
        <v>50</v>
      </c>
      <c r="O35" s="20">
        <v>32</v>
      </c>
    </row>
    <row r="36" spans="14:15" ht="20" customHeight="1" x14ac:dyDescent="0.35">
      <c r="N36" t="s">
        <v>51</v>
      </c>
      <c r="O36" s="20">
        <v>6</v>
      </c>
    </row>
    <row r="37" spans="14:15" ht="20" customHeight="1" x14ac:dyDescent="0.35"/>
    <row r="38" spans="14:15" ht="20" customHeight="1" x14ac:dyDescent="0.35"/>
    <row r="39" spans="14:15" ht="20" customHeight="1" x14ac:dyDescent="0.35"/>
    <row r="40" spans="14:15" ht="20" customHeight="1" x14ac:dyDescent="0.35"/>
    <row r="41" spans="14:15" ht="20" customHeight="1" x14ac:dyDescent="0.35"/>
    <row r="42" spans="14:15" ht="20" customHeight="1" x14ac:dyDescent="0.35"/>
    <row r="43" spans="14:15" ht="20" customHeight="1" x14ac:dyDescent="0.35"/>
    <row r="44" spans="14:15" ht="20" customHeight="1" x14ac:dyDescent="0.35"/>
    <row r="45" spans="14:15" ht="20" customHeight="1" x14ac:dyDescent="0.35"/>
    <row r="46" spans="14:15" ht="20" customHeight="1" x14ac:dyDescent="0.35"/>
    <row r="47" spans="14:15" ht="20" customHeight="1" x14ac:dyDescent="0.35"/>
    <row r="48" spans="14:15" ht="20" customHeight="1" x14ac:dyDescent="0.35"/>
    <row r="49" ht="20" customHeight="1" x14ac:dyDescent="0.35"/>
    <row r="50" ht="20" customHeight="1" x14ac:dyDescent="0.35"/>
    <row r="51" ht="20" customHeight="1" x14ac:dyDescent="0.35"/>
    <row r="52" ht="20" customHeight="1" x14ac:dyDescent="0.35"/>
    <row r="53" ht="20" customHeight="1" x14ac:dyDescent="0.35"/>
    <row r="54" ht="20" customHeight="1" x14ac:dyDescent="0.35"/>
    <row r="55" ht="20" customHeight="1" x14ac:dyDescent="0.35"/>
    <row r="56" ht="20" customHeight="1" x14ac:dyDescent="0.35"/>
    <row r="57" ht="20" customHeight="1" x14ac:dyDescent="0.35"/>
    <row r="58" ht="20" customHeight="1" x14ac:dyDescent="0.35"/>
    <row r="59" ht="20" customHeight="1" x14ac:dyDescent="0.35"/>
  </sheetData>
  <conditionalFormatting sqref="D19:D22">
    <cfRule type="colorScale" priority="1">
      <colorScale>
        <cfvo type="min"/>
        <cfvo type="percentile" val="50"/>
        <cfvo type="max"/>
        <color rgb="FFFCE4D6"/>
        <color rgb="FFFFF2CC"/>
        <color rgb="FFC6E0B4"/>
      </colorScale>
    </cfRule>
  </conditionalFormatting>
  <conditionalFormatting sqref="K19:K22">
    <cfRule type="colorScale" priority="2">
      <colorScale>
        <cfvo type="min"/>
        <cfvo type="percentile" val="50"/>
        <cfvo type="max"/>
        <color rgb="FFFCE4D6"/>
        <color rgb="FFFFF2CC"/>
        <color rgb="FFC6E0B4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workbookViewId="0">
      <pane ySplit="1" topLeftCell="A11" activePane="bottomLeft" state="frozen"/>
      <selection activeCell="E29" sqref="E29"/>
      <selection pane="bottomLeft" activeCell="E29" sqref="E29"/>
    </sheetView>
  </sheetViews>
  <sheetFormatPr defaultRowHeight="14.5" x14ac:dyDescent="0.35"/>
  <cols>
    <col min="1" max="1" width="12" customWidth="1"/>
    <col min="2" max="2" width="18" bestFit="1" customWidth="1"/>
    <col min="3" max="3" width="14" customWidth="1"/>
    <col min="4" max="4" width="12" customWidth="1"/>
    <col min="5" max="5" width="12" bestFit="1" customWidth="1"/>
    <col min="6" max="8" width="10" customWidth="1"/>
    <col min="9" max="10" width="12" customWidth="1"/>
    <col min="11" max="11" width="10.54296875" bestFit="1" customWidth="1"/>
    <col min="12" max="12" width="18" bestFit="1" customWidth="1"/>
  </cols>
  <sheetData>
    <row r="1" spans="1:12" x14ac:dyDescent="0.35">
      <c r="A1" s="21" t="s">
        <v>52</v>
      </c>
      <c r="B1" s="21" t="s">
        <v>53</v>
      </c>
      <c r="C1" s="21" t="s">
        <v>18</v>
      </c>
      <c r="D1" s="21" t="s">
        <v>22</v>
      </c>
      <c r="E1" s="21" t="s">
        <v>54</v>
      </c>
      <c r="F1" s="21" t="s">
        <v>26</v>
      </c>
      <c r="G1" s="21" t="s">
        <v>55</v>
      </c>
      <c r="H1" s="21" t="s">
        <v>25</v>
      </c>
      <c r="I1" s="21" t="s">
        <v>56</v>
      </c>
      <c r="J1" s="21" t="s">
        <v>57</v>
      </c>
      <c r="K1" s="21" t="s">
        <v>58</v>
      </c>
      <c r="L1" s="21" t="s">
        <v>46</v>
      </c>
    </row>
    <row r="2" spans="1:12" x14ac:dyDescent="0.35">
      <c r="A2">
        <v>1</v>
      </c>
      <c r="B2" t="s">
        <v>59</v>
      </c>
      <c r="C2" t="s">
        <v>36</v>
      </c>
      <c r="D2" t="s">
        <v>33</v>
      </c>
      <c r="E2" s="22">
        <v>46023</v>
      </c>
      <c r="F2" s="20">
        <v>8</v>
      </c>
      <c r="G2" s="20">
        <v>12</v>
      </c>
      <c r="H2" s="23">
        <v>85</v>
      </c>
      <c r="I2" t="s">
        <v>60</v>
      </c>
      <c r="J2" s="20">
        <v>30000</v>
      </c>
      <c r="K2" s="20" t="str">
        <f t="shared" ref="K2:K33" si="0">IF(J2&gt;=30000,"Yes","No")</f>
        <v>Yes</v>
      </c>
      <c r="L2" t="str">
        <f t="shared" ref="L2:L33" si="1">IF(H2&gt;=90,"Excellent",IF(H2&gt;=80,"Good",IF(H2&gt;=70,"Average","Poor")))</f>
        <v>Good</v>
      </c>
    </row>
    <row r="3" spans="1:12" x14ac:dyDescent="0.35">
      <c r="A3">
        <v>2</v>
      </c>
      <c r="B3" t="s">
        <v>61</v>
      </c>
      <c r="C3" t="s">
        <v>32</v>
      </c>
      <c r="D3" t="s">
        <v>31</v>
      </c>
      <c r="E3" s="22">
        <v>46024</v>
      </c>
      <c r="F3" s="20">
        <v>7</v>
      </c>
      <c r="G3" s="20">
        <v>10</v>
      </c>
      <c r="H3" s="23">
        <v>78</v>
      </c>
      <c r="I3" t="s">
        <v>60</v>
      </c>
      <c r="J3" s="20">
        <v>28000</v>
      </c>
      <c r="K3" s="20" t="str">
        <f t="shared" si="0"/>
        <v>No</v>
      </c>
      <c r="L3" t="str">
        <f t="shared" si="1"/>
        <v>Average</v>
      </c>
    </row>
    <row r="4" spans="1:12" x14ac:dyDescent="0.35">
      <c r="A4">
        <v>3</v>
      </c>
      <c r="B4" t="s">
        <v>62</v>
      </c>
      <c r="C4" t="s">
        <v>30</v>
      </c>
      <c r="D4" t="s">
        <v>28</v>
      </c>
      <c r="E4" s="22">
        <v>46025</v>
      </c>
      <c r="F4" s="20">
        <v>9</v>
      </c>
      <c r="G4" s="20">
        <v>15</v>
      </c>
      <c r="H4" s="23">
        <v>92</v>
      </c>
      <c r="I4" t="s">
        <v>60</v>
      </c>
      <c r="J4" s="20">
        <v>45000</v>
      </c>
      <c r="K4" s="20" t="str">
        <f t="shared" si="0"/>
        <v>Yes</v>
      </c>
      <c r="L4" t="str">
        <f t="shared" si="1"/>
        <v>Excellent</v>
      </c>
    </row>
    <row r="5" spans="1:12" x14ac:dyDescent="0.35">
      <c r="A5">
        <v>4</v>
      </c>
      <c r="B5" t="s">
        <v>63</v>
      </c>
      <c r="C5" t="s">
        <v>27</v>
      </c>
      <c r="D5" t="s">
        <v>37</v>
      </c>
      <c r="E5" s="22">
        <v>46026</v>
      </c>
      <c r="F5" s="20">
        <v>8</v>
      </c>
      <c r="G5" s="20">
        <v>11</v>
      </c>
      <c r="H5" s="23">
        <v>88</v>
      </c>
      <c r="I5" t="s">
        <v>60</v>
      </c>
      <c r="J5" s="20">
        <v>40000</v>
      </c>
      <c r="K5" s="20" t="str">
        <f t="shared" si="0"/>
        <v>Yes</v>
      </c>
      <c r="L5" t="str">
        <f t="shared" si="1"/>
        <v>Good</v>
      </c>
    </row>
    <row r="6" spans="1:12" x14ac:dyDescent="0.35">
      <c r="A6">
        <v>5</v>
      </c>
      <c r="B6" t="s">
        <v>64</v>
      </c>
      <c r="C6" t="s">
        <v>36</v>
      </c>
      <c r="D6" t="s">
        <v>33</v>
      </c>
      <c r="E6" s="22">
        <v>46027</v>
      </c>
      <c r="F6" s="20">
        <v>6</v>
      </c>
      <c r="G6" s="20">
        <v>8</v>
      </c>
      <c r="H6" s="23">
        <v>70</v>
      </c>
      <c r="I6" t="s">
        <v>60</v>
      </c>
      <c r="J6" s="20">
        <v>30000</v>
      </c>
      <c r="K6" s="20" t="str">
        <f t="shared" si="0"/>
        <v>Yes</v>
      </c>
      <c r="L6" t="str">
        <f t="shared" si="1"/>
        <v>Average</v>
      </c>
    </row>
    <row r="7" spans="1:12" x14ac:dyDescent="0.35">
      <c r="A7">
        <v>6</v>
      </c>
      <c r="B7" t="s">
        <v>65</v>
      </c>
      <c r="C7" t="s">
        <v>30</v>
      </c>
      <c r="D7" t="s">
        <v>31</v>
      </c>
      <c r="E7" s="22">
        <v>46028</v>
      </c>
      <c r="F7" s="20">
        <v>9</v>
      </c>
      <c r="G7" s="20">
        <v>14</v>
      </c>
      <c r="H7" s="23">
        <v>90</v>
      </c>
      <c r="I7" t="s">
        <v>60</v>
      </c>
      <c r="J7" s="20">
        <v>45000</v>
      </c>
      <c r="K7" s="20" t="str">
        <f t="shared" si="0"/>
        <v>Yes</v>
      </c>
      <c r="L7" t="str">
        <f t="shared" si="1"/>
        <v>Excellent</v>
      </c>
    </row>
    <row r="8" spans="1:12" x14ac:dyDescent="0.35">
      <c r="A8">
        <v>7</v>
      </c>
      <c r="B8" t="s">
        <v>66</v>
      </c>
      <c r="C8" t="s">
        <v>32</v>
      </c>
      <c r="D8" t="s">
        <v>28</v>
      </c>
      <c r="E8" s="22">
        <v>46029</v>
      </c>
      <c r="F8" s="20">
        <v>7</v>
      </c>
      <c r="G8" s="20">
        <v>9</v>
      </c>
      <c r="H8" s="23">
        <v>75</v>
      </c>
      <c r="I8" t="s">
        <v>60</v>
      </c>
      <c r="J8" s="20">
        <v>28000</v>
      </c>
      <c r="K8" s="20" t="str">
        <f t="shared" si="0"/>
        <v>No</v>
      </c>
      <c r="L8" t="str">
        <f t="shared" si="1"/>
        <v>Average</v>
      </c>
    </row>
    <row r="9" spans="1:12" x14ac:dyDescent="0.35">
      <c r="A9">
        <v>8</v>
      </c>
      <c r="B9" t="s">
        <v>67</v>
      </c>
      <c r="C9" t="s">
        <v>27</v>
      </c>
      <c r="D9" t="s">
        <v>37</v>
      </c>
      <c r="E9" s="22">
        <v>46030</v>
      </c>
      <c r="F9" s="20">
        <v>8</v>
      </c>
      <c r="G9" s="20">
        <v>13</v>
      </c>
      <c r="H9" s="23">
        <v>86</v>
      </c>
      <c r="I9" t="s">
        <v>60</v>
      </c>
      <c r="J9" s="20">
        <v>40000</v>
      </c>
      <c r="K9" s="20" t="str">
        <f t="shared" si="0"/>
        <v>Yes</v>
      </c>
      <c r="L9" t="str">
        <f t="shared" si="1"/>
        <v>Good</v>
      </c>
    </row>
    <row r="10" spans="1:12" x14ac:dyDescent="0.35">
      <c r="A10">
        <v>9</v>
      </c>
      <c r="B10" t="s">
        <v>68</v>
      </c>
      <c r="C10" t="s">
        <v>36</v>
      </c>
      <c r="D10" t="s">
        <v>33</v>
      </c>
      <c r="E10" s="22">
        <v>46031</v>
      </c>
      <c r="F10" s="20">
        <v>8</v>
      </c>
      <c r="G10" s="20">
        <v>10</v>
      </c>
      <c r="H10" s="23">
        <v>80</v>
      </c>
      <c r="I10" t="s">
        <v>60</v>
      </c>
      <c r="J10" s="20">
        <v>30000</v>
      </c>
      <c r="K10" s="20" t="str">
        <f t="shared" si="0"/>
        <v>Yes</v>
      </c>
      <c r="L10" t="str">
        <f t="shared" si="1"/>
        <v>Good</v>
      </c>
    </row>
    <row r="11" spans="1:12" x14ac:dyDescent="0.35">
      <c r="A11">
        <v>10</v>
      </c>
      <c r="B11" t="s">
        <v>40</v>
      </c>
      <c r="C11" t="s">
        <v>30</v>
      </c>
      <c r="D11" t="s">
        <v>31</v>
      </c>
      <c r="E11" s="22">
        <v>46032</v>
      </c>
      <c r="F11" s="20">
        <v>9</v>
      </c>
      <c r="G11" s="20">
        <v>16</v>
      </c>
      <c r="H11" s="23">
        <v>95</v>
      </c>
      <c r="I11" t="s">
        <v>60</v>
      </c>
      <c r="J11" s="20">
        <v>45000</v>
      </c>
      <c r="K11" s="20" t="str">
        <f t="shared" si="0"/>
        <v>Yes</v>
      </c>
      <c r="L11" t="str">
        <f t="shared" si="1"/>
        <v>Excellent</v>
      </c>
    </row>
    <row r="12" spans="1:12" x14ac:dyDescent="0.35">
      <c r="A12">
        <v>11</v>
      </c>
      <c r="B12" t="s">
        <v>69</v>
      </c>
      <c r="C12" t="s">
        <v>32</v>
      </c>
      <c r="D12" t="s">
        <v>28</v>
      </c>
      <c r="E12" s="22">
        <v>46033</v>
      </c>
      <c r="F12" s="20">
        <v>7</v>
      </c>
      <c r="G12" s="20">
        <v>9</v>
      </c>
      <c r="H12" s="23">
        <v>74</v>
      </c>
      <c r="I12" t="s">
        <v>60</v>
      </c>
      <c r="J12" s="20">
        <v>28000</v>
      </c>
      <c r="K12" s="20" t="str">
        <f t="shared" si="0"/>
        <v>No</v>
      </c>
      <c r="L12" t="str">
        <f t="shared" si="1"/>
        <v>Average</v>
      </c>
    </row>
    <row r="13" spans="1:12" x14ac:dyDescent="0.35">
      <c r="A13">
        <v>12</v>
      </c>
      <c r="B13" t="s">
        <v>70</v>
      </c>
      <c r="C13" t="s">
        <v>27</v>
      </c>
      <c r="D13" t="s">
        <v>37</v>
      </c>
      <c r="E13" s="22">
        <v>46034</v>
      </c>
      <c r="F13" s="20">
        <v>8</v>
      </c>
      <c r="G13" s="20">
        <v>12</v>
      </c>
      <c r="H13" s="23">
        <v>84</v>
      </c>
      <c r="I13" t="s">
        <v>60</v>
      </c>
      <c r="J13" s="20">
        <v>40000</v>
      </c>
      <c r="K13" s="20" t="str">
        <f t="shared" si="0"/>
        <v>Yes</v>
      </c>
      <c r="L13" t="str">
        <f t="shared" si="1"/>
        <v>Good</v>
      </c>
    </row>
    <row r="14" spans="1:12" x14ac:dyDescent="0.35">
      <c r="A14">
        <v>13</v>
      </c>
      <c r="B14" t="s">
        <v>71</v>
      </c>
      <c r="C14" t="s">
        <v>36</v>
      </c>
      <c r="D14" t="s">
        <v>33</v>
      </c>
      <c r="E14" s="22">
        <v>46035</v>
      </c>
      <c r="F14" s="20">
        <v>6</v>
      </c>
      <c r="G14" s="20">
        <v>7</v>
      </c>
      <c r="H14" s="23">
        <v>68</v>
      </c>
      <c r="I14" t="s">
        <v>60</v>
      </c>
      <c r="J14" s="20">
        <v>30000</v>
      </c>
      <c r="K14" s="20" t="str">
        <f t="shared" si="0"/>
        <v>Yes</v>
      </c>
      <c r="L14" t="str">
        <f t="shared" si="1"/>
        <v>Poor</v>
      </c>
    </row>
    <row r="15" spans="1:12" x14ac:dyDescent="0.35">
      <c r="A15">
        <v>14</v>
      </c>
      <c r="B15" t="s">
        <v>72</v>
      </c>
      <c r="C15" t="s">
        <v>30</v>
      </c>
      <c r="D15" t="s">
        <v>31</v>
      </c>
      <c r="E15" s="22">
        <v>46036</v>
      </c>
      <c r="F15" s="20">
        <v>9</v>
      </c>
      <c r="G15" s="20">
        <v>15</v>
      </c>
      <c r="H15" s="23">
        <v>91</v>
      </c>
      <c r="I15" t="s">
        <v>60</v>
      </c>
      <c r="J15" s="20">
        <v>45000</v>
      </c>
      <c r="K15" s="20" t="str">
        <f t="shared" si="0"/>
        <v>Yes</v>
      </c>
      <c r="L15" t="str">
        <f t="shared" si="1"/>
        <v>Excellent</v>
      </c>
    </row>
    <row r="16" spans="1:12" x14ac:dyDescent="0.35">
      <c r="A16">
        <v>15</v>
      </c>
      <c r="B16" t="s">
        <v>73</v>
      </c>
      <c r="C16" t="s">
        <v>32</v>
      </c>
      <c r="D16" t="s">
        <v>28</v>
      </c>
      <c r="E16" s="22">
        <v>46037</v>
      </c>
      <c r="F16" s="20">
        <v>7</v>
      </c>
      <c r="G16" s="20">
        <v>8</v>
      </c>
      <c r="H16" s="23">
        <v>72</v>
      </c>
      <c r="I16" t="s">
        <v>60</v>
      </c>
      <c r="J16" s="20">
        <v>28000</v>
      </c>
      <c r="K16" s="20" t="str">
        <f t="shared" si="0"/>
        <v>No</v>
      </c>
      <c r="L16" t="str">
        <f t="shared" si="1"/>
        <v>Average</v>
      </c>
    </row>
    <row r="17" spans="1:12" x14ac:dyDescent="0.35">
      <c r="A17">
        <v>16</v>
      </c>
      <c r="B17" t="s">
        <v>74</v>
      </c>
      <c r="C17" t="s">
        <v>27</v>
      </c>
      <c r="D17" t="s">
        <v>37</v>
      </c>
      <c r="E17" s="22">
        <v>46038</v>
      </c>
      <c r="F17" s="20">
        <v>8</v>
      </c>
      <c r="G17" s="20">
        <v>13</v>
      </c>
      <c r="H17" s="23">
        <v>87</v>
      </c>
      <c r="I17" t="s">
        <v>60</v>
      </c>
      <c r="J17" s="20">
        <v>40000</v>
      </c>
      <c r="K17" s="20" t="str">
        <f t="shared" si="0"/>
        <v>Yes</v>
      </c>
      <c r="L17" t="str">
        <f t="shared" si="1"/>
        <v>Good</v>
      </c>
    </row>
    <row r="18" spans="1:12" x14ac:dyDescent="0.35">
      <c r="A18">
        <v>17</v>
      </c>
      <c r="B18" t="s">
        <v>75</v>
      </c>
      <c r="C18" t="s">
        <v>36</v>
      </c>
      <c r="D18" t="s">
        <v>33</v>
      </c>
      <c r="E18" s="22">
        <v>46039</v>
      </c>
      <c r="F18" s="20">
        <v>8</v>
      </c>
      <c r="G18" s="20">
        <v>11</v>
      </c>
      <c r="H18" s="23">
        <v>82</v>
      </c>
      <c r="I18" t="s">
        <v>60</v>
      </c>
      <c r="J18" s="20">
        <v>30000</v>
      </c>
      <c r="K18" s="20" t="str">
        <f t="shared" si="0"/>
        <v>Yes</v>
      </c>
      <c r="L18" t="str">
        <f t="shared" si="1"/>
        <v>Good</v>
      </c>
    </row>
    <row r="19" spans="1:12" x14ac:dyDescent="0.35">
      <c r="A19">
        <v>18</v>
      </c>
      <c r="B19" t="s">
        <v>34</v>
      </c>
      <c r="C19" t="s">
        <v>30</v>
      </c>
      <c r="D19" t="s">
        <v>31</v>
      </c>
      <c r="E19" s="22">
        <v>46040</v>
      </c>
      <c r="F19" s="20">
        <v>9</v>
      </c>
      <c r="G19" s="20">
        <v>16</v>
      </c>
      <c r="H19" s="23">
        <v>96</v>
      </c>
      <c r="I19" t="s">
        <v>60</v>
      </c>
      <c r="J19" s="20">
        <v>45000</v>
      </c>
      <c r="K19" s="20" t="str">
        <f t="shared" si="0"/>
        <v>Yes</v>
      </c>
      <c r="L19" t="str">
        <f t="shared" si="1"/>
        <v>Excellent</v>
      </c>
    </row>
    <row r="20" spans="1:12" x14ac:dyDescent="0.35">
      <c r="A20">
        <v>19</v>
      </c>
      <c r="B20" t="s">
        <v>76</v>
      </c>
      <c r="C20" t="s">
        <v>32</v>
      </c>
      <c r="D20" t="s">
        <v>28</v>
      </c>
      <c r="E20" s="22">
        <v>46041</v>
      </c>
      <c r="F20" s="20">
        <v>7</v>
      </c>
      <c r="G20" s="20">
        <v>9</v>
      </c>
      <c r="H20" s="23">
        <v>76</v>
      </c>
      <c r="I20" t="s">
        <v>60</v>
      </c>
      <c r="J20" s="20">
        <v>28000</v>
      </c>
      <c r="K20" s="20" t="str">
        <f t="shared" si="0"/>
        <v>No</v>
      </c>
      <c r="L20" t="str">
        <f t="shared" si="1"/>
        <v>Average</v>
      </c>
    </row>
    <row r="21" spans="1:12" x14ac:dyDescent="0.35">
      <c r="A21">
        <v>20</v>
      </c>
      <c r="B21" t="s">
        <v>77</v>
      </c>
      <c r="C21" t="s">
        <v>27</v>
      </c>
      <c r="D21" t="s">
        <v>37</v>
      </c>
      <c r="E21" s="22">
        <v>46042</v>
      </c>
      <c r="F21" s="20">
        <v>8</v>
      </c>
      <c r="G21" s="20">
        <v>12</v>
      </c>
      <c r="H21" s="23">
        <v>85</v>
      </c>
      <c r="I21" t="s">
        <v>60</v>
      </c>
      <c r="J21" s="20">
        <v>40000</v>
      </c>
      <c r="K21" s="20" t="str">
        <f t="shared" si="0"/>
        <v>Yes</v>
      </c>
      <c r="L21" t="str">
        <f t="shared" si="1"/>
        <v>Good</v>
      </c>
    </row>
    <row r="22" spans="1:12" x14ac:dyDescent="0.35">
      <c r="A22">
        <v>21</v>
      </c>
      <c r="B22" t="s">
        <v>78</v>
      </c>
      <c r="C22" t="s">
        <v>36</v>
      </c>
      <c r="D22" t="s">
        <v>33</v>
      </c>
      <c r="E22" s="22">
        <v>46043</v>
      </c>
      <c r="F22" s="20">
        <v>8</v>
      </c>
      <c r="G22" s="20">
        <v>10</v>
      </c>
      <c r="H22" s="23">
        <v>79</v>
      </c>
      <c r="I22" t="s">
        <v>60</v>
      </c>
      <c r="J22" s="20">
        <v>30000</v>
      </c>
      <c r="K22" s="20" t="str">
        <f t="shared" si="0"/>
        <v>Yes</v>
      </c>
      <c r="L22" t="str">
        <f t="shared" si="1"/>
        <v>Average</v>
      </c>
    </row>
    <row r="23" spans="1:12" x14ac:dyDescent="0.35">
      <c r="A23">
        <v>22</v>
      </c>
      <c r="B23" t="s">
        <v>79</v>
      </c>
      <c r="C23" t="s">
        <v>30</v>
      </c>
      <c r="D23" t="s">
        <v>31</v>
      </c>
      <c r="E23" s="22">
        <v>46044</v>
      </c>
      <c r="F23" s="20">
        <v>9</v>
      </c>
      <c r="G23" s="20">
        <v>15</v>
      </c>
      <c r="H23" s="23">
        <v>93</v>
      </c>
      <c r="I23" t="s">
        <v>60</v>
      </c>
      <c r="J23" s="20">
        <v>45000</v>
      </c>
      <c r="K23" s="20" t="str">
        <f t="shared" si="0"/>
        <v>Yes</v>
      </c>
      <c r="L23" t="str">
        <f t="shared" si="1"/>
        <v>Excellent</v>
      </c>
    </row>
    <row r="24" spans="1:12" x14ac:dyDescent="0.35">
      <c r="A24">
        <v>23</v>
      </c>
      <c r="B24" t="s">
        <v>80</v>
      </c>
      <c r="C24" t="s">
        <v>32</v>
      </c>
      <c r="D24" t="s">
        <v>28</v>
      </c>
      <c r="E24" s="22">
        <v>46045</v>
      </c>
      <c r="F24" s="20">
        <v>7</v>
      </c>
      <c r="G24" s="20">
        <v>8</v>
      </c>
      <c r="H24" s="23">
        <v>73</v>
      </c>
      <c r="I24" t="s">
        <v>60</v>
      </c>
      <c r="J24" s="20">
        <v>28000</v>
      </c>
      <c r="K24" s="20" t="str">
        <f t="shared" si="0"/>
        <v>No</v>
      </c>
      <c r="L24" t="str">
        <f t="shared" si="1"/>
        <v>Average</v>
      </c>
    </row>
    <row r="25" spans="1:12" x14ac:dyDescent="0.35">
      <c r="A25">
        <v>24</v>
      </c>
      <c r="B25" t="s">
        <v>81</v>
      </c>
      <c r="C25" t="s">
        <v>27</v>
      </c>
      <c r="D25" t="s">
        <v>37</v>
      </c>
      <c r="E25" s="22">
        <v>46046</v>
      </c>
      <c r="F25" s="20">
        <v>8</v>
      </c>
      <c r="G25" s="20">
        <v>13</v>
      </c>
      <c r="H25" s="23">
        <v>88</v>
      </c>
      <c r="I25" t="s">
        <v>60</v>
      </c>
      <c r="J25" s="20">
        <v>40000</v>
      </c>
      <c r="K25" s="20" t="str">
        <f t="shared" si="0"/>
        <v>Yes</v>
      </c>
      <c r="L25" t="str">
        <f t="shared" si="1"/>
        <v>Good</v>
      </c>
    </row>
    <row r="26" spans="1:12" x14ac:dyDescent="0.35">
      <c r="A26">
        <v>25</v>
      </c>
      <c r="B26" t="s">
        <v>82</v>
      </c>
      <c r="C26" t="s">
        <v>36</v>
      </c>
      <c r="D26" t="s">
        <v>33</v>
      </c>
      <c r="E26" s="22">
        <v>46047</v>
      </c>
      <c r="F26" s="20">
        <v>6</v>
      </c>
      <c r="G26" s="20">
        <v>7</v>
      </c>
      <c r="H26" s="23">
        <v>69</v>
      </c>
      <c r="I26" t="s">
        <v>60</v>
      </c>
      <c r="J26" s="20">
        <v>30000</v>
      </c>
      <c r="K26" s="20" t="str">
        <f t="shared" si="0"/>
        <v>Yes</v>
      </c>
      <c r="L26" t="str">
        <f t="shared" si="1"/>
        <v>Poor</v>
      </c>
    </row>
    <row r="27" spans="1:12" x14ac:dyDescent="0.35">
      <c r="A27">
        <v>26</v>
      </c>
      <c r="B27" t="s">
        <v>83</v>
      </c>
      <c r="C27" t="s">
        <v>30</v>
      </c>
      <c r="D27" t="s">
        <v>31</v>
      </c>
      <c r="E27" s="22">
        <v>46048</v>
      </c>
      <c r="F27" s="20">
        <v>9</v>
      </c>
      <c r="G27" s="20">
        <v>16</v>
      </c>
      <c r="H27" s="23">
        <v>94</v>
      </c>
      <c r="I27" t="s">
        <v>60</v>
      </c>
      <c r="J27" s="20">
        <v>45000</v>
      </c>
      <c r="K27" s="20" t="str">
        <f t="shared" si="0"/>
        <v>Yes</v>
      </c>
      <c r="L27" t="str">
        <f t="shared" si="1"/>
        <v>Excellent</v>
      </c>
    </row>
    <row r="28" spans="1:12" x14ac:dyDescent="0.35">
      <c r="A28">
        <v>27</v>
      </c>
      <c r="B28" t="s">
        <v>84</v>
      </c>
      <c r="C28" t="s">
        <v>32</v>
      </c>
      <c r="D28" t="s">
        <v>28</v>
      </c>
      <c r="E28" s="22">
        <v>46049</v>
      </c>
      <c r="F28" s="20">
        <v>7</v>
      </c>
      <c r="G28" s="20">
        <v>9</v>
      </c>
      <c r="H28" s="23">
        <v>75</v>
      </c>
      <c r="I28" t="s">
        <v>60</v>
      </c>
      <c r="J28" s="20">
        <v>28000</v>
      </c>
      <c r="K28" s="20" t="str">
        <f t="shared" si="0"/>
        <v>No</v>
      </c>
      <c r="L28" t="str">
        <f t="shared" si="1"/>
        <v>Average</v>
      </c>
    </row>
    <row r="29" spans="1:12" x14ac:dyDescent="0.35">
      <c r="A29">
        <v>28</v>
      </c>
      <c r="B29" t="s">
        <v>85</v>
      </c>
      <c r="C29" t="s">
        <v>27</v>
      </c>
      <c r="D29" t="s">
        <v>37</v>
      </c>
      <c r="E29" s="22">
        <v>46050</v>
      </c>
      <c r="F29" s="20">
        <v>8</v>
      </c>
      <c r="G29" s="20">
        <v>12</v>
      </c>
      <c r="H29" s="23">
        <v>86</v>
      </c>
      <c r="I29" t="s">
        <v>60</v>
      </c>
      <c r="J29" s="20">
        <v>40000</v>
      </c>
      <c r="K29" s="20" t="str">
        <f t="shared" si="0"/>
        <v>Yes</v>
      </c>
      <c r="L29" t="str">
        <f t="shared" si="1"/>
        <v>Good</v>
      </c>
    </row>
    <row r="30" spans="1:12" x14ac:dyDescent="0.35">
      <c r="A30">
        <v>29</v>
      </c>
      <c r="B30" t="s">
        <v>86</v>
      </c>
      <c r="C30" t="s">
        <v>36</v>
      </c>
      <c r="D30" t="s">
        <v>33</v>
      </c>
      <c r="E30" s="22">
        <v>46051</v>
      </c>
      <c r="F30" s="20">
        <v>8</v>
      </c>
      <c r="G30" s="20">
        <v>11</v>
      </c>
      <c r="H30" s="23">
        <v>81</v>
      </c>
      <c r="I30" t="s">
        <v>60</v>
      </c>
      <c r="J30" s="20">
        <v>30000</v>
      </c>
      <c r="K30" s="20" t="str">
        <f t="shared" si="0"/>
        <v>Yes</v>
      </c>
      <c r="L30" t="str">
        <f t="shared" si="1"/>
        <v>Good</v>
      </c>
    </row>
    <row r="31" spans="1:12" x14ac:dyDescent="0.35">
      <c r="A31">
        <v>30</v>
      </c>
      <c r="B31" t="s">
        <v>87</v>
      </c>
      <c r="C31" t="s">
        <v>30</v>
      </c>
      <c r="D31" t="s">
        <v>31</v>
      </c>
      <c r="E31" s="22">
        <v>46052</v>
      </c>
      <c r="F31" s="20">
        <v>9</v>
      </c>
      <c r="G31" s="20">
        <v>15</v>
      </c>
      <c r="H31" s="23">
        <v>92</v>
      </c>
      <c r="I31" t="s">
        <v>60</v>
      </c>
      <c r="J31" s="20">
        <v>45000</v>
      </c>
      <c r="K31" s="20" t="str">
        <f t="shared" si="0"/>
        <v>Yes</v>
      </c>
      <c r="L31" t="str">
        <f t="shared" si="1"/>
        <v>Excellent</v>
      </c>
    </row>
    <row r="32" spans="1:12" x14ac:dyDescent="0.35">
      <c r="A32">
        <v>31</v>
      </c>
      <c r="B32" t="s">
        <v>88</v>
      </c>
      <c r="C32" t="s">
        <v>32</v>
      </c>
      <c r="D32" t="s">
        <v>28</v>
      </c>
      <c r="E32" s="22">
        <v>46053</v>
      </c>
      <c r="F32" s="20">
        <v>7</v>
      </c>
      <c r="G32" s="20">
        <v>8</v>
      </c>
      <c r="H32" s="23">
        <v>74</v>
      </c>
      <c r="I32" t="s">
        <v>60</v>
      </c>
      <c r="J32" s="20">
        <v>28000</v>
      </c>
      <c r="K32" s="20" t="str">
        <f t="shared" si="0"/>
        <v>No</v>
      </c>
      <c r="L32" t="str">
        <f t="shared" si="1"/>
        <v>Average</v>
      </c>
    </row>
    <row r="33" spans="1:12" x14ac:dyDescent="0.35">
      <c r="A33">
        <v>32</v>
      </c>
      <c r="B33" t="s">
        <v>89</v>
      </c>
      <c r="C33" t="s">
        <v>27</v>
      </c>
      <c r="D33" t="s">
        <v>37</v>
      </c>
      <c r="E33" s="22">
        <v>46054</v>
      </c>
      <c r="F33" s="20">
        <v>8</v>
      </c>
      <c r="G33" s="20">
        <v>13</v>
      </c>
      <c r="H33" s="23">
        <v>87</v>
      </c>
      <c r="I33" t="s">
        <v>60</v>
      </c>
      <c r="J33" s="20">
        <v>40000</v>
      </c>
      <c r="K33" s="20" t="str">
        <f t="shared" si="0"/>
        <v>Yes</v>
      </c>
      <c r="L33" t="str">
        <f t="shared" si="1"/>
        <v>Good</v>
      </c>
    </row>
    <row r="34" spans="1:12" x14ac:dyDescent="0.35">
      <c r="A34">
        <v>33</v>
      </c>
      <c r="B34" t="s">
        <v>90</v>
      </c>
      <c r="C34" t="s">
        <v>36</v>
      </c>
      <c r="D34" t="s">
        <v>33</v>
      </c>
      <c r="E34" s="22">
        <v>46055</v>
      </c>
      <c r="F34" s="20">
        <v>6</v>
      </c>
      <c r="G34" s="20">
        <v>7</v>
      </c>
      <c r="H34" s="23">
        <v>67</v>
      </c>
      <c r="I34" t="s">
        <v>60</v>
      </c>
      <c r="J34" s="20">
        <v>30000</v>
      </c>
      <c r="K34" s="20" t="str">
        <f t="shared" ref="K34:K65" si="2">IF(J34&gt;=30000,"Yes","No")</f>
        <v>Yes</v>
      </c>
      <c r="L34" t="str">
        <f t="shared" ref="L34:L65" si="3">IF(H34&gt;=90,"Excellent",IF(H34&gt;=80,"Good",IF(H34&gt;=70,"Average","Poor")))</f>
        <v>Poor</v>
      </c>
    </row>
    <row r="35" spans="1:12" x14ac:dyDescent="0.35">
      <c r="A35">
        <v>34</v>
      </c>
      <c r="B35" t="s">
        <v>42</v>
      </c>
      <c r="C35" t="s">
        <v>30</v>
      </c>
      <c r="D35" t="s">
        <v>31</v>
      </c>
      <c r="E35" s="22">
        <v>46056</v>
      </c>
      <c r="F35" s="20">
        <v>9</v>
      </c>
      <c r="G35" s="20">
        <v>16</v>
      </c>
      <c r="H35" s="23">
        <v>95</v>
      </c>
      <c r="I35" t="s">
        <v>60</v>
      </c>
      <c r="J35" s="20">
        <v>45000</v>
      </c>
      <c r="K35" s="20" t="str">
        <f t="shared" si="2"/>
        <v>Yes</v>
      </c>
      <c r="L35" t="str">
        <f t="shared" si="3"/>
        <v>Excellent</v>
      </c>
    </row>
    <row r="36" spans="1:12" x14ac:dyDescent="0.35">
      <c r="A36">
        <v>35</v>
      </c>
      <c r="B36" t="s">
        <v>91</v>
      </c>
      <c r="C36" t="s">
        <v>32</v>
      </c>
      <c r="D36" t="s">
        <v>28</v>
      </c>
      <c r="E36" s="22">
        <v>46057</v>
      </c>
      <c r="F36" s="20">
        <v>7</v>
      </c>
      <c r="G36" s="20">
        <v>9</v>
      </c>
      <c r="H36" s="23">
        <v>76</v>
      </c>
      <c r="I36" t="s">
        <v>60</v>
      </c>
      <c r="J36" s="20">
        <v>28000</v>
      </c>
      <c r="K36" s="20" t="str">
        <f t="shared" si="2"/>
        <v>No</v>
      </c>
      <c r="L36" t="str">
        <f t="shared" si="3"/>
        <v>Average</v>
      </c>
    </row>
    <row r="37" spans="1:12" x14ac:dyDescent="0.35">
      <c r="A37">
        <v>36</v>
      </c>
      <c r="B37" t="s">
        <v>92</v>
      </c>
      <c r="C37" t="s">
        <v>27</v>
      </c>
      <c r="D37" t="s">
        <v>37</v>
      </c>
      <c r="E37" s="22">
        <v>46058</v>
      </c>
      <c r="F37" s="20">
        <v>8</v>
      </c>
      <c r="G37" s="20">
        <v>12</v>
      </c>
      <c r="H37" s="23">
        <v>84</v>
      </c>
      <c r="I37" t="s">
        <v>60</v>
      </c>
      <c r="J37" s="20">
        <v>40000</v>
      </c>
      <c r="K37" s="20" t="str">
        <f t="shared" si="2"/>
        <v>Yes</v>
      </c>
      <c r="L37" t="str">
        <f t="shared" si="3"/>
        <v>Good</v>
      </c>
    </row>
    <row r="38" spans="1:12" x14ac:dyDescent="0.35">
      <c r="A38">
        <v>37</v>
      </c>
      <c r="B38" t="s">
        <v>93</v>
      </c>
      <c r="C38" t="s">
        <v>36</v>
      </c>
      <c r="D38" t="s">
        <v>33</v>
      </c>
      <c r="E38" s="22">
        <v>46059</v>
      </c>
      <c r="F38" s="20">
        <v>8</v>
      </c>
      <c r="G38" s="20">
        <v>10</v>
      </c>
      <c r="H38" s="23">
        <v>80</v>
      </c>
      <c r="I38" t="s">
        <v>60</v>
      </c>
      <c r="J38" s="20">
        <v>30000</v>
      </c>
      <c r="K38" s="20" t="str">
        <f t="shared" si="2"/>
        <v>Yes</v>
      </c>
      <c r="L38" t="str">
        <f t="shared" si="3"/>
        <v>Good</v>
      </c>
    </row>
    <row r="39" spans="1:12" x14ac:dyDescent="0.35">
      <c r="A39">
        <v>38</v>
      </c>
      <c r="B39" t="s">
        <v>94</v>
      </c>
      <c r="C39" t="s">
        <v>30</v>
      </c>
      <c r="D39" t="s">
        <v>31</v>
      </c>
      <c r="E39" s="22">
        <v>46060</v>
      </c>
      <c r="F39" s="20">
        <v>9</v>
      </c>
      <c r="G39" s="20">
        <v>15</v>
      </c>
      <c r="H39" s="23">
        <v>93</v>
      </c>
      <c r="I39" t="s">
        <v>60</v>
      </c>
      <c r="J39" s="20">
        <v>45000</v>
      </c>
      <c r="K39" s="20" t="str">
        <f t="shared" si="2"/>
        <v>Yes</v>
      </c>
      <c r="L39" t="str">
        <f t="shared" si="3"/>
        <v>Excellent</v>
      </c>
    </row>
    <row r="40" spans="1:12" x14ac:dyDescent="0.35">
      <c r="A40">
        <v>39</v>
      </c>
      <c r="B40" t="s">
        <v>95</v>
      </c>
      <c r="C40" t="s">
        <v>32</v>
      </c>
      <c r="D40" t="s">
        <v>28</v>
      </c>
      <c r="E40" s="22">
        <v>46061</v>
      </c>
      <c r="F40" s="20">
        <v>7</v>
      </c>
      <c r="G40" s="20">
        <v>8</v>
      </c>
      <c r="H40" s="23">
        <v>72</v>
      </c>
      <c r="I40" t="s">
        <v>60</v>
      </c>
      <c r="J40" s="20">
        <v>28000</v>
      </c>
      <c r="K40" s="20" t="str">
        <f t="shared" si="2"/>
        <v>No</v>
      </c>
      <c r="L40" t="str">
        <f t="shared" si="3"/>
        <v>Average</v>
      </c>
    </row>
    <row r="41" spans="1:12" x14ac:dyDescent="0.35">
      <c r="A41">
        <v>40</v>
      </c>
      <c r="B41" t="s">
        <v>96</v>
      </c>
      <c r="C41" t="s">
        <v>27</v>
      </c>
      <c r="D41" t="s">
        <v>37</v>
      </c>
      <c r="E41" s="22">
        <v>46062</v>
      </c>
      <c r="F41" s="20">
        <v>8</v>
      </c>
      <c r="G41" s="20">
        <v>13</v>
      </c>
      <c r="H41" s="23">
        <v>88</v>
      </c>
      <c r="I41" t="s">
        <v>60</v>
      </c>
      <c r="J41" s="20">
        <v>40000</v>
      </c>
      <c r="K41" s="20" t="str">
        <f t="shared" si="2"/>
        <v>Yes</v>
      </c>
      <c r="L41" t="str">
        <f t="shared" si="3"/>
        <v>Good</v>
      </c>
    </row>
    <row r="42" spans="1:12" x14ac:dyDescent="0.35">
      <c r="A42">
        <v>41</v>
      </c>
      <c r="B42" t="s">
        <v>97</v>
      </c>
      <c r="C42" t="s">
        <v>36</v>
      </c>
      <c r="D42" t="s">
        <v>33</v>
      </c>
      <c r="E42" s="22">
        <v>46063</v>
      </c>
      <c r="F42" s="20">
        <v>8</v>
      </c>
      <c r="G42" s="20">
        <v>11</v>
      </c>
      <c r="H42" s="23">
        <v>82</v>
      </c>
      <c r="I42" t="s">
        <v>60</v>
      </c>
      <c r="J42" s="20">
        <v>30000</v>
      </c>
      <c r="K42" s="20" t="str">
        <f t="shared" si="2"/>
        <v>Yes</v>
      </c>
      <c r="L42" t="str">
        <f t="shared" si="3"/>
        <v>Good</v>
      </c>
    </row>
    <row r="43" spans="1:12" x14ac:dyDescent="0.35">
      <c r="A43">
        <v>42</v>
      </c>
      <c r="B43" t="s">
        <v>29</v>
      </c>
      <c r="C43" t="s">
        <v>30</v>
      </c>
      <c r="D43" t="s">
        <v>31</v>
      </c>
      <c r="E43" s="22">
        <v>46064</v>
      </c>
      <c r="F43" s="20">
        <v>9</v>
      </c>
      <c r="G43" s="20">
        <v>16</v>
      </c>
      <c r="H43" s="23">
        <v>96</v>
      </c>
      <c r="I43" t="s">
        <v>60</v>
      </c>
      <c r="J43" s="20">
        <v>45000</v>
      </c>
      <c r="K43" s="20" t="str">
        <f t="shared" si="2"/>
        <v>Yes</v>
      </c>
      <c r="L43" t="str">
        <f t="shared" si="3"/>
        <v>Excellent</v>
      </c>
    </row>
    <row r="44" spans="1:12" x14ac:dyDescent="0.35">
      <c r="A44">
        <v>43</v>
      </c>
      <c r="B44" t="s">
        <v>98</v>
      </c>
      <c r="C44" t="s">
        <v>32</v>
      </c>
      <c r="D44" t="s">
        <v>28</v>
      </c>
      <c r="E44" s="22">
        <v>46065</v>
      </c>
      <c r="F44" s="20">
        <v>7</v>
      </c>
      <c r="G44" s="20">
        <v>9</v>
      </c>
      <c r="H44" s="23">
        <v>75</v>
      </c>
      <c r="I44" t="s">
        <v>60</v>
      </c>
      <c r="J44" s="20">
        <v>28000</v>
      </c>
      <c r="K44" s="20" t="str">
        <f t="shared" si="2"/>
        <v>No</v>
      </c>
      <c r="L44" t="str">
        <f t="shared" si="3"/>
        <v>Average</v>
      </c>
    </row>
    <row r="45" spans="1:12" x14ac:dyDescent="0.35">
      <c r="A45">
        <v>44</v>
      </c>
      <c r="B45" t="s">
        <v>99</v>
      </c>
      <c r="C45" t="s">
        <v>27</v>
      </c>
      <c r="D45" t="s">
        <v>37</v>
      </c>
      <c r="E45" s="22">
        <v>46066</v>
      </c>
      <c r="F45" s="20">
        <v>8</v>
      </c>
      <c r="G45" s="20">
        <v>12</v>
      </c>
      <c r="H45" s="23">
        <v>85</v>
      </c>
      <c r="I45" t="s">
        <v>60</v>
      </c>
      <c r="J45" s="20">
        <v>40000</v>
      </c>
      <c r="K45" s="20" t="str">
        <f t="shared" si="2"/>
        <v>Yes</v>
      </c>
      <c r="L45" t="str">
        <f t="shared" si="3"/>
        <v>Good</v>
      </c>
    </row>
    <row r="46" spans="1:12" x14ac:dyDescent="0.35">
      <c r="A46">
        <v>45</v>
      </c>
      <c r="B46" t="s">
        <v>100</v>
      </c>
      <c r="C46" t="s">
        <v>36</v>
      </c>
      <c r="D46" t="s">
        <v>33</v>
      </c>
      <c r="E46" s="22">
        <v>46067</v>
      </c>
      <c r="F46" s="20">
        <v>6</v>
      </c>
      <c r="G46" s="20">
        <v>7</v>
      </c>
      <c r="H46" s="23">
        <v>70</v>
      </c>
      <c r="I46" t="s">
        <v>60</v>
      </c>
      <c r="J46" s="20">
        <v>30000</v>
      </c>
      <c r="K46" s="20" t="str">
        <f t="shared" si="2"/>
        <v>Yes</v>
      </c>
      <c r="L46" t="str">
        <f t="shared" si="3"/>
        <v>Average</v>
      </c>
    </row>
    <row r="47" spans="1:12" x14ac:dyDescent="0.35">
      <c r="A47">
        <v>46</v>
      </c>
      <c r="B47" t="s">
        <v>101</v>
      </c>
      <c r="C47" t="s">
        <v>30</v>
      </c>
      <c r="D47" t="s">
        <v>31</v>
      </c>
      <c r="E47" s="22">
        <v>46068</v>
      </c>
      <c r="F47" s="20">
        <v>9</v>
      </c>
      <c r="G47" s="20">
        <v>15</v>
      </c>
      <c r="H47" s="23">
        <v>92</v>
      </c>
      <c r="I47" t="s">
        <v>60</v>
      </c>
      <c r="J47" s="20">
        <v>45000</v>
      </c>
      <c r="K47" s="20" t="str">
        <f t="shared" si="2"/>
        <v>Yes</v>
      </c>
      <c r="L47" t="str">
        <f t="shared" si="3"/>
        <v>Excellent</v>
      </c>
    </row>
    <row r="48" spans="1:12" x14ac:dyDescent="0.35">
      <c r="A48">
        <v>47</v>
      </c>
      <c r="B48" t="s">
        <v>102</v>
      </c>
      <c r="C48" t="s">
        <v>32</v>
      </c>
      <c r="D48" t="s">
        <v>28</v>
      </c>
      <c r="E48" s="22">
        <v>46069</v>
      </c>
      <c r="F48" s="20">
        <v>7</v>
      </c>
      <c r="G48" s="20">
        <v>8</v>
      </c>
      <c r="H48" s="23">
        <v>73</v>
      </c>
      <c r="I48" t="s">
        <v>60</v>
      </c>
      <c r="J48" s="20">
        <v>28000</v>
      </c>
      <c r="K48" s="20" t="str">
        <f t="shared" si="2"/>
        <v>No</v>
      </c>
      <c r="L48" t="str">
        <f t="shared" si="3"/>
        <v>Average</v>
      </c>
    </row>
    <row r="49" spans="1:12" x14ac:dyDescent="0.35">
      <c r="A49">
        <v>48</v>
      </c>
      <c r="B49" t="s">
        <v>103</v>
      </c>
      <c r="C49" t="s">
        <v>27</v>
      </c>
      <c r="D49" t="s">
        <v>37</v>
      </c>
      <c r="E49" s="22">
        <v>46070</v>
      </c>
      <c r="F49" s="20">
        <v>8</v>
      </c>
      <c r="G49" s="20">
        <v>13</v>
      </c>
      <c r="H49" s="23">
        <v>86</v>
      </c>
      <c r="I49" t="s">
        <v>60</v>
      </c>
      <c r="J49" s="20">
        <v>40000</v>
      </c>
      <c r="K49" s="20" t="str">
        <f t="shared" si="2"/>
        <v>Yes</v>
      </c>
      <c r="L49" t="str">
        <f t="shared" si="3"/>
        <v>Good</v>
      </c>
    </row>
    <row r="50" spans="1:12" x14ac:dyDescent="0.35">
      <c r="A50">
        <v>49</v>
      </c>
      <c r="B50" t="s">
        <v>104</v>
      </c>
      <c r="C50" t="s">
        <v>36</v>
      </c>
      <c r="D50" t="s">
        <v>33</v>
      </c>
      <c r="E50" s="22">
        <v>46071</v>
      </c>
      <c r="F50" s="20">
        <v>8</v>
      </c>
      <c r="G50" s="20">
        <v>10</v>
      </c>
      <c r="H50" s="23">
        <v>79</v>
      </c>
      <c r="I50" t="s">
        <v>60</v>
      </c>
      <c r="J50" s="20">
        <v>30000</v>
      </c>
      <c r="K50" s="20" t="str">
        <f t="shared" si="2"/>
        <v>Yes</v>
      </c>
      <c r="L50" t="str">
        <f t="shared" si="3"/>
        <v>Average</v>
      </c>
    </row>
    <row r="51" spans="1:12" x14ac:dyDescent="0.35">
      <c r="A51">
        <v>50</v>
      </c>
      <c r="B51" t="s">
        <v>44</v>
      </c>
      <c r="C51" t="s">
        <v>30</v>
      </c>
      <c r="D51" t="s">
        <v>31</v>
      </c>
      <c r="E51" s="22">
        <v>46072</v>
      </c>
      <c r="F51" s="20">
        <v>9</v>
      </c>
      <c r="G51" s="20">
        <v>16</v>
      </c>
      <c r="H51" s="23">
        <v>94</v>
      </c>
      <c r="I51" t="s">
        <v>60</v>
      </c>
      <c r="J51" s="20">
        <v>45000</v>
      </c>
      <c r="K51" s="20" t="str">
        <f t="shared" si="2"/>
        <v>Yes</v>
      </c>
      <c r="L51" t="str">
        <f t="shared" si="3"/>
        <v>Excellent</v>
      </c>
    </row>
    <row r="52" spans="1:12" x14ac:dyDescent="0.35">
      <c r="A52">
        <v>51</v>
      </c>
      <c r="B52" t="s">
        <v>105</v>
      </c>
      <c r="C52" t="s">
        <v>32</v>
      </c>
      <c r="D52" t="s">
        <v>28</v>
      </c>
      <c r="E52" s="22">
        <v>46073</v>
      </c>
      <c r="F52" s="20">
        <v>7</v>
      </c>
      <c r="G52" s="20">
        <v>9</v>
      </c>
      <c r="H52" s="23">
        <v>76</v>
      </c>
      <c r="I52" t="s">
        <v>60</v>
      </c>
      <c r="J52" s="20">
        <v>28000</v>
      </c>
      <c r="K52" s="20" t="str">
        <f t="shared" si="2"/>
        <v>No</v>
      </c>
      <c r="L52" t="str">
        <f t="shared" si="3"/>
        <v>Average</v>
      </c>
    </row>
    <row r="53" spans="1:12" x14ac:dyDescent="0.35">
      <c r="A53">
        <v>52</v>
      </c>
      <c r="B53" t="s">
        <v>106</v>
      </c>
      <c r="C53" t="s">
        <v>27</v>
      </c>
      <c r="D53" t="s">
        <v>37</v>
      </c>
      <c r="E53" s="22">
        <v>46074</v>
      </c>
      <c r="F53" s="20">
        <v>8</v>
      </c>
      <c r="G53" s="20">
        <v>12</v>
      </c>
      <c r="H53" s="23">
        <v>85</v>
      </c>
      <c r="I53" t="s">
        <v>60</v>
      </c>
      <c r="J53" s="20">
        <v>40000</v>
      </c>
      <c r="K53" s="20" t="str">
        <f t="shared" si="2"/>
        <v>Yes</v>
      </c>
      <c r="L53" t="str">
        <f t="shared" si="3"/>
        <v>Good</v>
      </c>
    </row>
    <row r="54" spans="1:12" x14ac:dyDescent="0.35">
      <c r="A54">
        <v>53</v>
      </c>
      <c r="B54" t="s">
        <v>107</v>
      </c>
      <c r="C54" t="s">
        <v>36</v>
      </c>
      <c r="D54" t="s">
        <v>33</v>
      </c>
      <c r="E54" s="22">
        <v>46075</v>
      </c>
      <c r="F54" s="20">
        <v>8</v>
      </c>
      <c r="G54" s="20">
        <v>11</v>
      </c>
      <c r="H54" s="23">
        <v>81</v>
      </c>
      <c r="I54" t="s">
        <v>60</v>
      </c>
      <c r="J54" s="20">
        <v>30000</v>
      </c>
      <c r="K54" s="20" t="str">
        <f t="shared" si="2"/>
        <v>Yes</v>
      </c>
      <c r="L54" t="str">
        <f t="shared" si="3"/>
        <v>Good</v>
      </c>
    </row>
    <row r="55" spans="1:12" x14ac:dyDescent="0.35">
      <c r="A55">
        <v>54</v>
      </c>
      <c r="B55" t="s">
        <v>108</v>
      </c>
      <c r="C55" t="s">
        <v>30</v>
      </c>
      <c r="D55" t="s">
        <v>31</v>
      </c>
      <c r="E55" s="22">
        <v>46076</v>
      </c>
      <c r="F55" s="20">
        <v>9</v>
      </c>
      <c r="G55" s="20">
        <v>15</v>
      </c>
      <c r="H55" s="23">
        <v>93</v>
      </c>
      <c r="I55" t="s">
        <v>60</v>
      </c>
      <c r="J55" s="20">
        <v>45000</v>
      </c>
      <c r="K55" s="20" t="str">
        <f t="shared" si="2"/>
        <v>Yes</v>
      </c>
      <c r="L55" t="str">
        <f t="shared" si="3"/>
        <v>Excellent</v>
      </c>
    </row>
    <row r="56" spans="1:12" x14ac:dyDescent="0.35">
      <c r="A56">
        <v>55</v>
      </c>
      <c r="B56" t="s">
        <v>109</v>
      </c>
      <c r="C56" t="s">
        <v>32</v>
      </c>
      <c r="D56" t="s">
        <v>28</v>
      </c>
      <c r="E56" s="22">
        <v>46077</v>
      </c>
      <c r="F56" s="20">
        <v>7</v>
      </c>
      <c r="G56" s="20">
        <v>8</v>
      </c>
      <c r="H56" s="23">
        <v>74</v>
      </c>
      <c r="I56" t="s">
        <v>60</v>
      </c>
      <c r="J56" s="20">
        <v>28000</v>
      </c>
      <c r="K56" s="20" t="str">
        <f t="shared" si="2"/>
        <v>No</v>
      </c>
      <c r="L56" t="str">
        <f t="shared" si="3"/>
        <v>Average</v>
      </c>
    </row>
    <row r="57" spans="1:12" x14ac:dyDescent="0.35">
      <c r="A57">
        <v>56</v>
      </c>
      <c r="B57" t="s">
        <v>110</v>
      </c>
      <c r="C57" t="s">
        <v>27</v>
      </c>
      <c r="D57" t="s">
        <v>37</v>
      </c>
      <c r="E57" s="22">
        <v>46078</v>
      </c>
      <c r="F57" s="20">
        <v>8</v>
      </c>
      <c r="G57" s="20">
        <v>13</v>
      </c>
      <c r="H57" s="23">
        <v>88</v>
      </c>
      <c r="I57" t="s">
        <v>60</v>
      </c>
      <c r="J57" s="20">
        <v>40000</v>
      </c>
      <c r="K57" s="20" t="str">
        <f t="shared" si="2"/>
        <v>Yes</v>
      </c>
      <c r="L57" t="str">
        <f t="shared" si="3"/>
        <v>Good</v>
      </c>
    </row>
    <row r="58" spans="1:12" x14ac:dyDescent="0.35">
      <c r="A58">
        <v>57</v>
      </c>
      <c r="B58" t="s">
        <v>111</v>
      </c>
      <c r="C58" t="s">
        <v>36</v>
      </c>
      <c r="D58" t="s">
        <v>33</v>
      </c>
      <c r="E58" s="22">
        <v>46079</v>
      </c>
      <c r="F58" s="20">
        <v>6</v>
      </c>
      <c r="G58" s="20">
        <v>7</v>
      </c>
      <c r="H58" s="23">
        <v>68</v>
      </c>
      <c r="I58" t="s">
        <v>60</v>
      </c>
      <c r="J58" s="20">
        <v>30000</v>
      </c>
      <c r="K58" s="20" t="str">
        <f t="shared" si="2"/>
        <v>Yes</v>
      </c>
      <c r="L58" t="str">
        <f t="shared" si="3"/>
        <v>Poor</v>
      </c>
    </row>
    <row r="59" spans="1:12" x14ac:dyDescent="0.35">
      <c r="A59">
        <v>58</v>
      </c>
      <c r="B59" t="s">
        <v>41</v>
      </c>
      <c r="C59" t="s">
        <v>30</v>
      </c>
      <c r="D59" t="s">
        <v>31</v>
      </c>
      <c r="E59" s="22">
        <v>46080</v>
      </c>
      <c r="F59" s="20">
        <v>9</v>
      </c>
      <c r="G59" s="20">
        <v>16</v>
      </c>
      <c r="H59" s="23">
        <v>95</v>
      </c>
      <c r="I59" t="s">
        <v>60</v>
      </c>
      <c r="J59" s="20">
        <v>45000</v>
      </c>
      <c r="K59" s="20" t="str">
        <f t="shared" si="2"/>
        <v>Yes</v>
      </c>
      <c r="L59" t="str">
        <f t="shared" si="3"/>
        <v>Excellent</v>
      </c>
    </row>
    <row r="60" spans="1:12" x14ac:dyDescent="0.35">
      <c r="A60">
        <v>59</v>
      </c>
      <c r="B60" t="s">
        <v>112</v>
      </c>
      <c r="C60" t="s">
        <v>32</v>
      </c>
      <c r="D60" t="s">
        <v>28</v>
      </c>
      <c r="E60" s="22">
        <v>46081</v>
      </c>
      <c r="F60" s="20">
        <v>7</v>
      </c>
      <c r="G60" s="20">
        <v>9</v>
      </c>
      <c r="H60" s="23">
        <v>75</v>
      </c>
      <c r="I60" t="s">
        <v>60</v>
      </c>
      <c r="J60" s="20">
        <v>28000</v>
      </c>
      <c r="K60" s="20" t="str">
        <f t="shared" si="2"/>
        <v>No</v>
      </c>
      <c r="L60" t="str">
        <f t="shared" si="3"/>
        <v>Average</v>
      </c>
    </row>
    <row r="61" spans="1:12" x14ac:dyDescent="0.35">
      <c r="A61">
        <v>60</v>
      </c>
      <c r="B61" t="s">
        <v>113</v>
      </c>
      <c r="C61" t="s">
        <v>27</v>
      </c>
      <c r="D61" t="s">
        <v>37</v>
      </c>
      <c r="E61" s="22">
        <v>46082</v>
      </c>
      <c r="F61" s="20">
        <v>8</v>
      </c>
      <c r="G61" s="20">
        <v>12</v>
      </c>
      <c r="H61" s="23">
        <v>86</v>
      </c>
      <c r="I61" t="s">
        <v>60</v>
      </c>
      <c r="J61" s="20">
        <v>40000</v>
      </c>
      <c r="K61" s="20" t="str">
        <f t="shared" si="2"/>
        <v>Yes</v>
      </c>
      <c r="L61" t="str">
        <f t="shared" si="3"/>
        <v>Good</v>
      </c>
    </row>
    <row r="62" spans="1:12" x14ac:dyDescent="0.35">
      <c r="A62">
        <v>61</v>
      </c>
      <c r="B62" t="s">
        <v>114</v>
      </c>
      <c r="C62" t="s">
        <v>36</v>
      </c>
      <c r="D62" t="s">
        <v>33</v>
      </c>
      <c r="E62" s="22">
        <v>46083</v>
      </c>
      <c r="F62" s="20">
        <v>8</v>
      </c>
      <c r="G62" s="20">
        <v>12</v>
      </c>
      <c r="H62" s="23">
        <v>84</v>
      </c>
      <c r="I62" t="s">
        <v>60</v>
      </c>
      <c r="J62" s="20">
        <v>30000</v>
      </c>
      <c r="K62" s="20" t="str">
        <f t="shared" si="2"/>
        <v>Yes</v>
      </c>
      <c r="L62" t="str">
        <f t="shared" si="3"/>
        <v>Good</v>
      </c>
    </row>
    <row r="63" spans="1:12" x14ac:dyDescent="0.35">
      <c r="A63">
        <v>62</v>
      </c>
      <c r="B63" t="s">
        <v>115</v>
      </c>
      <c r="C63" t="s">
        <v>32</v>
      </c>
      <c r="D63" t="s">
        <v>31</v>
      </c>
      <c r="E63" s="22">
        <v>46084</v>
      </c>
      <c r="F63" s="20">
        <v>7</v>
      </c>
      <c r="G63" s="20">
        <v>10</v>
      </c>
      <c r="H63" s="23">
        <v>77</v>
      </c>
      <c r="I63" t="s">
        <v>60</v>
      </c>
      <c r="J63" s="20">
        <v>28000</v>
      </c>
      <c r="K63" s="20" t="str">
        <f t="shared" si="2"/>
        <v>No</v>
      </c>
      <c r="L63" t="str">
        <f t="shared" si="3"/>
        <v>Average</v>
      </c>
    </row>
    <row r="64" spans="1:12" x14ac:dyDescent="0.35">
      <c r="A64">
        <v>63</v>
      </c>
      <c r="B64" t="s">
        <v>116</v>
      </c>
      <c r="C64" t="s">
        <v>30</v>
      </c>
      <c r="D64" t="s">
        <v>28</v>
      </c>
      <c r="E64" s="22">
        <v>46085</v>
      </c>
      <c r="F64" s="20">
        <v>9</v>
      </c>
      <c r="G64" s="20">
        <v>15</v>
      </c>
      <c r="H64" s="23">
        <v>91</v>
      </c>
      <c r="I64" t="s">
        <v>60</v>
      </c>
      <c r="J64" s="20">
        <v>45000</v>
      </c>
      <c r="K64" s="20" t="str">
        <f t="shared" si="2"/>
        <v>Yes</v>
      </c>
      <c r="L64" t="str">
        <f t="shared" si="3"/>
        <v>Excellent</v>
      </c>
    </row>
    <row r="65" spans="1:12" x14ac:dyDescent="0.35">
      <c r="A65">
        <v>64</v>
      </c>
      <c r="B65" t="s">
        <v>117</v>
      </c>
      <c r="C65" t="s">
        <v>27</v>
      </c>
      <c r="D65" t="s">
        <v>37</v>
      </c>
      <c r="E65" s="22">
        <v>46086</v>
      </c>
      <c r="F65" s="20">
        <v>8</v>
      </c>
      <c r="G65" s="20">
        <v>11</v>
      </c>
      <c r="H65" s="23">
        <v>87</v>
      </c>
      <c r="I65" t="s">
        <v>60</v>
      </c>
      <c r="J65" s="20">
        <v>40000</v>
      </c>
      <c r="K65" s="20" t="str">
        <f t="shared" si="2"/>
        <v>Yes</v>
      </c>
      <c r="L65" t="str">
        <f t="shared" si="3"/>
        <v>Good</v>
      </c>
    </row>
    <row r="66" spans="1:12" x14ac:dyDescent="0.35">
      <c r="A66">
        <v>65</v>
      </c>
      <c r="B66" t="s">
        <v>118</v>
      </c>
      <c r="C66" t="s">
        <v>36</v>
      </c>
      <c r="D66" t="s">
        <v>33</v>
      </c>
      <c r="E66" s="22">
        <v>46087</v>
      </c>
      <c r="F66" s="20">
        <v>6</v>
      </c>
      <c r="G66" s="20">
        <v>8</v>
      </c>
      <c r="H66" s="23">
        <v>71</v>
      </c>
      <c r="I66" t="s">
        <v>60</v>
      </c>
      <c r="J66" s="20">
        <v>30000</v>
      </c>
      <c r="K66" s="20" t="str">
        <f t="shared" ref="K66:K97" si="4">IF(J66&gt;=30000,"Yes","No")</f>
        <v>Yes</v>
      </c>
      <c r="L66" t="str">
        <f t="shared" ref="L66:L101" si="5">IF(H66&gt;=90,"Excellent",IF(H66&gt;=80,"Good",IF(H66&gt;=70,"Average","Poor")))</f>
        <v>Average</v>
      </c>
    </row>
    <row r="67" spans="1:12" x14ac:dyDescent="0.35">
      <c r="A67">
        <v>66</v>
      </c>
      <c r="B67" t="s">
        <v>119</v>
      </c>
      <c r="C67" t="s">
        <v>30</v>
      </c>
      <c r="D67" t="s">
        <v>31</v>
      </c>
      <c r="E67" s="22">
        <v>46088</v>
      </c>
      <c r="F67" s="20">
        <v>9</v>
      </c>
      <c r="G67" s="20">
        <v>14</v>
      </c>
      <c r="H67" s="23">
        <v>90</v>
      </c>
      <c r="I67" t="s">
        <v>60</v>
      </c>
      <c r="J67" s="20">
        <v>45000</v>
      </c>
      <c r="K67" s="20" t="str">
        <f t="shared" si="4"/>
        <v>Yes</v>
      </c>
      <c r="L67" t="str">
        <f t="shared" si="5"/>
        <v>Excellent</v>
      </c>
    </row>
    <row r="68" spans="1:12" x14ac:dyDescent="0.35">
      <c r="A68">
        <v>67</v>
      </c>
      <c r="B68" t="s">
        <v>120</v>
      </c>
      <c r="C68" t="s">
        <v>32</v>
      </c>
      <c r="D68" t="s">
        <v>28</v>
      </c>
      <c r="E68" s="22">
        <v>46089</v>
      </c>
      <c r="F68" s="20">
        <v>7</v>
      </c>
      <c r="G68" s="20">
        <v>9</v>
      </c>
      <c r="H68" s="23">
        <v>76</v>
      </c>
      <c r="I68" t="s">
        <v>60</v>
      </c>
      <c r="J68" s="20">
        <v>28000</v>
      </c>
      <c r="K68" s="20" t="str">
        <f t="shared" si="4"/>
        <v>No</v>
      </c>
      <c r="L68" t="str">
        <f t="shared" si="5"/>
        <v>Average</v>
      </c>
    </row>
    <row r="69" spans="1:12" x14ac:dyDescent="0.35">
      <c r="A69">
        <v>68</v>
      </c>
      <c r="B69" t="s">
        <v>121</v>
      </c>
      <c r="C69" t="s">
        <v>27</v>
      </c>
      <c r="D69" t="s">
        <v>37</v>
      </c>
      <c r="E69" s="22">
        <v>46090</v>
      </c>
      <c r="F69" s="20">
        <v>8</v>
      </c>
      <c r="G69" s="20">
        <v>13</v>
      </c>
      <c r="H69" s="23">
        <v>86</v>
      </c>
      <c r="I69" t="s">
        <v>60</v>
      </c>
      <c r="J69" s="20">
        <v>40000</v>
      </c>
      <c r="K69" s="20" t="str">
        <f t="shared" si="4"/>
        <v>Yes</v>
      </c>
      <c r="L69" t="str">
        <f t="shared" si="5"/>
        <v>Good</v>
      </c>
    </row>
    <row r="70" spans="1:12" x14ac:dyDescent="0.35">
      <c r="A70">
        <v>69</v>
      </c>
      <c r="B70" t="s">
        <v>122</v>
      </c>
      <c r="C70" t="s">
        <v>36</v>
      </c>
      <c r="D70" t="s">
        <v>33</v>
      </c>
      <c r="E70" s="22">
        <v>46091</v>
      </c>
      <c r="F70" s="20">
        <v>8</v>
      </c>
      <c r="G70" s="20">
        <v>10</v>
      </c>
      <c r="H70" s="23">
        <v>80</v>
      </c>
      <c r="I70" t="s">
        <v>60</v>
      </c>
      <c r="J70" s="20">
        <v>30000</v>
      </c>
      <c r="K70" s="20" t="str">
        <f t="shared" si="4"/>
        <v>Yes</v>
      </c>
      <c r="L70" t="str">
        <f t="shared" si="5"/>
        <v>Good</v>
      </c>
    </row>
    <row r="71" spans="1:12" x14ac:dyDescent="0.35">
      <c r="A71">
        <v>70</v>
      </c>
      <c r="B71" t="s">
        <v>38</v>
      </c>
      <c r="C71" t="s">
        <v>30</v>
      </c>
      <c r="D71" t="s">
        <v>31</v>
      </c>
      <c r="E71" s="22">
        <v>46092</v>
      </c>
      <c r="F71" s="20">
        <v>9</v>
      </c>
      <c r="G71" s="20">
        <v>16</v>
      </c>
      <c r="H71" s="23">
        <v>95</v>
      </c>
      <c r="I71" t="s">
        <v>60</v>
      </c>
      <c r="J71" s="20">
        <v>45000</v>
      </c>
      <c r="K71" s="20" t="str">
        <f t="shared" si="4"/>
        <v>Yes</v>
      </c>
      <c r="L71" t="str">
        <f t="shared" si="5"/>
        <v>Excellent</v>
      </c>
    </row>
    <row r="72" spans="1:12" x14ac:dyDescent="0.35">
      <c r="A72">
        <v>71</v>
      </c>
      <c r="B72" t="s">
        <v>123</v>
      </c>
      <c r="C72" t="s">
        <v>32</v>
      </c>
      <c r="D72" t="s">
        <v>28</v>
      </c>
      <c r="E72" s="22">
        <v>46093</v>
      </c>
      <c r="F72" s="20">
        <v>7</v>
      </c>
      <c r="G72" s="20">
        <v>9</v>
      </c>
      <c r="H72" s="23">
        <v>74</v>
      </c>
      <c r="I72" t="s">
        <v>60</v>
      </c>
      <c r="J72" s="20">
        <v>28000</v>
      </c>
      <c r="K72" s="20" t="str">
        <f t="shared" si="4"/>
        <v>No</v>
      </c>
      <c r="L72" t="str">
        <f t="shared" si="5"/>
        <v>Average</v>
      </c>
    </row>
    <row r="73" spans="1:12" x14ac:dyDescent="0.35">
      <c r="A73">
        <v>72</v>
      </c>
      <c r="B73" t="s">
        <v>124</v>
      </c>
      <c r="C73" t="s">
        <v>27</v>
      </c>
      <c r="D73" t="s">
        <v>37</v>
      </c>
      <c r="E73" s="22">
        <v>46094</v>
      </c>
      <c r="F73" s="20">
        <v>8</v>
      </c>
      <c r="G73" s="20">
        <v>12</v>
      </c>
      <c r="H73" s="23">
        <v>84</v>
      </c>
      <c r="I73" t="s">
        <v>60</v>
      </c>
      <c r="J73" s="20">
        <v>40000</v>
      </c>
      <c r="K73" s="20" t="str">
        <f t="shared" si="4"/>
        <v>Yes</v>
      </c>
      <c r="L73" t="str">
        <f t="shared" si="5"/>
        <v>Good</v>
      </c>
    </row>
    <row r="74" spans="1:12" x14ac:dyDescent="0.35">
      <c r="A74">
        <v>73</v>
      </c>
      <c r="B74" t="s">
        <v>125</v>
      </c>
      <c r="C74" t="s">
        <v>36</v>
      </c>
      <c r="D74" t="s">
        <v>33</v>
      </c>
      <c r="E74" s="22">
        <v>46095</v>
      </c>
      <c r="F74" s="20">
        <v>6</v>
      </c>
      <c r="G74" s="20">
        <v>7</v>
      </c>
      <c r="H74" s="23">
        <v>69</v>
      </c>
      <c r="I74" t="s">
        <v>60</v>
      </c>
      <c r="J74" s="20">
        <v>30000</v>
      </c>
      <c r="K74" s="20" t="str">
        <f t="shared" si="4"/>
        <v>Yes</v>
      </c>
      <c r="L74" t="str">
        <f t="shared" si="5"/>
        <v>Poor</v>
      </c>
    </row>
    <row r="75" spans="1:12" x14ac:dyDescent="0.35">
      <c r="A75">
        <v>74</v>
      </c>
      <c r="B75" t="s">
        <v>126</v>
      </c>
      <c r="C75" t="s">
        <v>30</v>
      </c>
      <c r="D75" t="s">
        <v>31</v>
      </c>
      <c r="E75" s="22">
        <v>46096</v>
      </c>
      <c r="F75" s="20">
        <v>9</v>
      </c>
      <c r="G75" s="20">
        <v>15</v>
      </c>
      <c r="H75" s="23">
        <v>92</v>
      </c>
      <c r="I75" t="s">
        <v>60</v>
      </c>
      <c r="J75" s="20">
        <v>45000</v>
      </c>
      <c r="K75" s="20" t="str">
        <f t="shared" si="4"/>
        <v>Yes</v>
      </c>
      <c r="L75" t="str">
        <f t="shared" si="5"/>
        <v>Excellent</v>
      </c>
    </row>
    <row r="76" spans="1:12" x14ac:dyDescent="0.35">
      <c r="A76">
        <v>75</v>
      </c>
      <c r="B76" t="s">
        <v>127</v>
      </c>
      <c r="C76" t="s">
        <v>32</v>
      </c>
      <c r="D76" t="s">
        <v>28</v>
      </c>
      <c r="E76" s="22">
        <v>46097</v>
      </c>
      <c r="F76" s="20">
        <v>7</v>
      </c>
      <c r="G76" s="20">
        <v>8</v>
      </c>
      <c r="H76" s="23">
        <v>72</v>
      </c>
      <c r="I76" t="s">
        <v>60</v>
      </c>
      <c r="J76" s="20">
        <v>28000</v>
      </c>
      <c r="K76" s="20" t="str">
        <f t="shared" si="4"/>
        <v>No</v>
      </c>
      <c r="L76" t="str">
        <f t="shared" si="5"/>
        <v>Average</v>
      </c>
    </row>
    <row r="77" spans="1:12" x14ac:dyDescent="0.35">
      <c r="A77">
        <v>76</v>
      </c>
      <c r="B77" t="s">
        <v>128</v>
      </c>
      <c r="C77" t="s">
        <v>27</v>
      </c>
      <c r="D77" t="s">
        <v>37</v>
      </c>
      <c r="E77" s="22">
        <v>46098</v>
      </c>
      <c r="F77" s="20">
        <v>8</v>
      </c>
      <c r="G77" s="20">
        <v>13</v>
      </c>
      <c r="H77" s="23">
        <v>87</v>
      </c>
      <c r="I77" t="s">
        <v>60</v>
      </c>
      <c r="J77" s="20">
        <v>40000</v>
      </c>
      <c r="K77" s="20" t="str">
        <f t="shared" si="4"/>
        <v>Yes</v>
      </c>
      <c r="L77" t="str">
        <f t="shared" si="5"/>
        <v>Good</v>
      </c>
    </row>
    <row r="78" spans="1:12" x14ac:dyDescent="0.35">
      <c r="A78">
        <v>77</v>
      </c>
      <c r="B78" t="s">
        <v>129</v>
      </c>
      <c r="C78" t="s">
        <v>36</v>
      </c>
      <c r="D78" t="s">
        <v>33</v>
      </c>
      <c r="E78" s="22">
        <v>46099</v>
      </c>
      <c r="F78" s="20">
        <v>8</v>
      </c>
      <c r="G78" s="20">
        <v>11</v>
      </c>
      <c r="H78" s="23">
        <v>82</v>
      </c>
      <c r="I78" t="s">
        <v>60</v>
      </c>
      <c r="J78" s="20">
        <v>30000</v>
      </c>
      <c r="K78" s="20" t="str">
        <f t="shared" si="4"/>
        <v>Yes</v>
      </c>
      <c r="L78" t="str">
        <f t="shared" si="5"/>
        <v>Good</v>
      </c>
    </row>
    <row r="79" spans="1:12" x14ac:dyDescent="0.35">
      <c r="A79">
        <v>78</v>
      </c>
      <c r="B79" t="s">
        <v>35</v>
      </c>
      <c r="C79" t="s">
        <v>30</v>
      </c>
      <c r="D79" t="s">
        <v>31</v>
      </c>
      <c r="E79" s="22">
        <v>46100</v>
      </c>
      <c r="F79" s="20">
        <v>9</v>
      </c>
      <c r="G79" s="20">
        <v>16</v>
      </c>
      <c r="H79" s="23">
        <v>96</v>
      </c>
      <c r="I79" t="s">
        <v>60</v>
      </c>
      <c r="J79" s="20">
        <v>45000</v>
      </c>
      <c r="K79" s="20" t="str">
        <f t="shared" si="4"/>
        <v>Yes</v>
      </c>
      <c r="L79" t="str">
        <f t="shared" si="5"/>
        <v>Excellent</v>
      </c>
    </row>
    <row r="80" spans="1:12" x14ac:dyDescent="0.35">
      <c r="A80">
        <v>79</v>
      </c>
      <c r="B80" t="s">
        <v>130</v>
      </c>
      <c r="C80" t="s">
        <v>32</v>
      </c>
      <c r="D80" t="s">
        <v>28</v>
      </c>
      <c r="E80" s="22">
        <v>46101</v>
      </c>
      <c r="F80" s="20">
        <v>7</v>
      </c>
      <c r="G80" s="20">
        <v>9</v>
      </c>
      <c r="H80" s="23">
        <v>76</v>
      </c>
      <c r="I80" t="s">
        <v>60</v>
      </c>
      <c r="J80" s="20">
        <v>28000</v>
      </c>
      <c r="K80" s="20" t="str">
        <f t="shared" si="4"/>
        <v>No</v>
      </c>
      <c r="L80" t="str">
        <f t="shared" si="5"/>
        <v>Average</v>
      </c>
    </row>
    <row r="81" spans="1:12" x14ac:dyDescent="0.35">
      <c r="A81">
        <v>80</v>
      </c>
      <c r="B81" t="s">
        <v>131</v>
      </c>
      <c r="C81" t="s">
        <v>27</v>
      </c>
      <c r="D81" t="s">
        <v>37</v>
      </c>
      <c r="E81" s="22">
        <v>46102</v>
      </c>
      <c r="F81" s="20">
        <v>8</v>
      </c>
      <c r="G81" s="20">
        <v>12</v>
      </c>
      <c r="H81" s="23">
        <v>85</v>
      </c>
      <c r="I81" t="s">
        <v>60</v>
      </c>
      <c r="J81" s="20">
        <v>40000</v>
      </c>
      <c r="K81" s="20" t="str">
        <f t="shared" si="4"/>
        <v>Yes</v>
      </c>
      <c r="L81" t="str">
        <f t="shared" si="5"/>
        <v>Good</v>
      </c>
    </row>
    <row r="82" spans="1:12" x14ac:dyDescent="0.35">
      <c r="A82">
        <v>81</v>
      </c>
      <c r="B82" t="s">
        <v>132</v>
      </c>
      <c r="C82" t="s">
        <v>36</v>
      </c>
      <c r="D82" t="s">
        <v>33</v>
      </c>
      <c r="E82" s="22">
        <v>46103</v>
      </c>
      <c r="F82" s="20">
        <v>8</v>
      </c>
      <c r="G82" s="20">
        <v>10</v>
      </c>
      <c r="H82" s="23">
        <v>79</v>
      </c>
      <c r="I82" t="s">
        <v>60</v>
      </c>
      <c r="J82" s="20">
        <v>30000</v>
      </c>
      <c r="K82" s="20" t="str">
        <f t="shared" si="4"/>
        <v>Yes</v>
      </c>
      <c r="L82" t="str">
        <f t="shared" si="5"/>
        <v>Average</v>
      </c>
    </row>
    <row r="83" spans="1:12" x14ac:dyDescent="0.35">
      <c r="A83">
        <v>82</v>
      </c>
      <c r="B83" t="s">
        <v>133</v>
      </c>
      <c r="C83" t="s">
        <v>30</v>
      </c>
      <c r="D83" t="s">
        <v>31</v>
      </c>
      <c r="E83" s="22">
        <v>46104</v>
      </c>
      <c r="F83" s="20">
        <v>9</v>
      </c>
      <c r="G83" s="20">
        <v>15</v>
      </c>
      <c r="H83" s="23">
        <v>93</v>
      </c>
      <c r="I83" t="s">
        <v>60</v>
      </c>
      <c r="J83" s="20">
        <v>45000</v>
      </c>
      <c r="K83" s="20" t="str">
        <f t="shared" si="4"/>
        <v>Yes</v>
      </c>
      <c r="L83" t="str">
        <f t="shared" si="5"/>
        <v>Excellent</v>
      </c>
    </row>
    <row r="84" spans="1:12" x14ac:dyDescent="0.35">
      <c r="A84">
        <v>83</v>
      </c>
      <c r="B84" t="s">
        <v>134</v>
      </c>
      <c r="C84" t="s">
        <v>32</v>
      </c>
      <c r="D84" t="s">
        <v>28</v>
      </c>
      <c r="E84" s="22">
        <v>46105</v>
      </c>
      <c r="F84" s="20">
        <v>7</v>
      </c>
      <c r="G84" s="20">
        <v>8</v>
      </c>
      <c r="H84" s="23">
        <v>73</v>
      </c>
      <c r="I84" t="s">
        <v>60</v>
      </c>
      <c r="J84" s="20">
        <v>28000</v>
      </c>
      <c r="K84" s="20" t="str">
        <f t="shared" si="4"/>
        <v>No</v>
      </c>
      <c r="L84" t="str">
        <f t="shared" si="5"/>
        <v>Average</v>
      </c>
    </row>
    <row r="85" spans="1:12" x14ac:dyDescent="0.35">
      <c r="A85">
        <v>84</v>
      </c>
      <c r="B85" t="s">
        <v>135</v>
      </c>
      <c r="C85" t="s">
        <v>27</v>
      </c>
      <c r="D85" t="s">
        <v>37</v>
      </c>
      <c r="E85" s="22">
        <v>46106</v>
      </c>
      <c r="F85" s="20">
        <v>8</v>
      </c>
      <c r="G85" s="20">
        <v>13</v>
      </c>
      <c r="H85" s="23">
        <v>88</v>
      </c>
      <c r="I85" t="s">
        <v>60</v>
      </c>
      <c r="J85" s="20">
        <v>40000</v>
      </c>
      <c r="K85" s="20" t="str">
        <f t="shared" si="4"/>
        <v>Yes</v>
      </c>
      <c r="L85" t="str">
        <f t="shared" si="5"/>
        <v>Good</v>
      </c>
    </row>
    <row r="86" spans="1:12" x14ac:dyDescent="0.35">
      <c r="A86">
        <v>85</v>
      </c>
      <c r="B86" t="s">
        <v>136</v>
      </c>
      <c r="C86" t="s">
        <v>36</v>
      </c>
      <c r="D86" t="s">
        <v>33</v>
      </c>
      <c r="E86" s="22">
        <v>46107</v>
      </c>
      <c r="F86" s="20">
        <v>6</v>
      </c>
      <c r="G86" s="20">
        <v>7</v>
      </c>
      <c r="H86" s="23">
        <v>70</v>
      </c>
      <c r="I86" t="s">
        <v>60</v>
      </c>
      <c r="J86" s="20">
        <v>30000</v>
      </c>
      <c r="K86" s="20" t="str">
        <f t="shared" si="4"/>
        <v>Yes</v>
      </c>
      <c r="L86" t="str">
        <f t="shared" si="5"/>
        <v>Average</v>
      </c>
    </row>
    <row r="87" spans="1:12" x14ac:dyDescent="0.35">
      <c r="A87">
        <v>86</v>
      </c>
      <c r="B87" t="s">
        <v>43</v>
      </c>
      <c r="C87" t="s">
        <v>30</v>
      </c>
      <c r="D87" t="s">
        <v>31</v>
      </c>
      <c r="E87" s="22">
        <v>46108</v>
      </c>
      <c r="F87" s="20">
        <v>9</v>
      </c>
      <c r="G87" s="20">
        <v>16</v>
      </c>
      <c r="H87" s="23">
        <v>94</v>
      </c>
      <c r="I87" t="s">
        <v>60</v>
      </c>
      <c r="J87" s="20">
        <v>45000</v>
      </c>
      <c r="K87" s="20" t="str">
        <f t="shared" si="4"/>
        <v>Yes</v>
      </c>
      <c r="L87" t="str">
        <f t="shared" si="5"/>
        <v>Excellent</v>
      </c>
    </row>
    <row r="88" spans="1:12" x14ac:dyDescent="0.35">
      <c r="A88">
        <v>87</v>
      </c>
      <c r="B88" t="s">
        <v>137</v>
      </c>
      <c r="C88" t="s">
        <v>32</v>
      </c>
      <c r="D88" t="s">
        <v>28</v>
      </c>
      <c r="E88" s="22">
        <v>46109</v>
      </c>
      <c r="F88" s="20">
        <v>7</v>
      </c>
      <c r="G88" s="20">
        <v>9</v>
      </c>
      <c r="H88" s="23">
        <v>75</v>
      </c>
      <c r="I88" t="s">
        <v>60</v>
      </c>
      <c r="J88" s="20">
        <v>28000</v>
      </c>
      <c r="K88" s="20" t="str">
        <f t="shared" si="4"/>
        <v>No</v>
      </c>
      <c r="L88" t="str">
        <f t="shared" si="5"/>
        <v>Average</v>
      </c>
    </row>
    <row r="89" spans="1:12" x14ac:dyDescent="0.35">
      <c r="A89">
        <v>88</v>
      </c>
      <c r="B89" t="s">
        <v>138</v>
      </c>
      <c r="C89" t="s">
        <v>27</v>
      </c>
      <c r="D89" t="s">
        <v>37</v>
      </c>
      <c r="E89" s="22">
        <v>46110</v>
      </c>
      <c r="F89" s="20">
        <v>8</v>
      </c>
      <c r="G89" s="20">
        <v>12</v>
      </c>
      <c r="H89" s="23">
        <v>86</v>
      </c>
      <c r="I89" t="s">
        <v>60</v>
      </c>
      <c r="J89" s="20">
        <v>40000</v>
      </c>
      <c r="K89" s="20" t="str">
        <f t="shared" si="4"/>
        <v>Yes</v>
      </c>
      <c r="L89" t="str">
        <f t="shared" si="5"/>
        <v>Good</v>
      </c>
    </row>
    <row r="90" spans="1:12" x14ac:dyDescent="0.35">
      <c r="A90">
        <v>89</v>
      </c>
      <c r="B90" t="s">
        <v>139</v>
      </c>
      <c r="C90" t="s">
        <v>36</v>
      </c>
      <c r="D90" t="s">
        <v>33</v>
      </c>
      <c r="E90" s="22">
        <v>46111</v>
      </c>
      <c r="F90" s="20">
        <v>8</v>
      </c>
      <c r="G90" s="20">
        <v>11</v>
      </c>
      <c r="H90" s="23">
        <v>81</v>
      </c>
      <c r="I90" t="s">
        <v>60</v>
      </c>
      <c r="J90" s="20">
        <v>30000</v>
      </c>
      <c r="K90" s="20" t="str">
        <f t="shared" si="4"/>
        <v>Yes</v>
      </c>
      <c r="L90" t="str">
        <f t="shared" si="5"/>
        <v>Good</v>
      </c>
    </row>
    <row r="91" spans="1:12" x14ac:dyDescent="0.35">
      <c r="A91">
        <v>90</v>
      </c>
      <c r="B91" t="s">
        <v>140</v>
      </c>
      <c r="C91" t="s">
        <v>30</v>
      </c>
      <c r="D91" t="s">
        <v>31</v>
      </c>
      <c r="E91" s="22">
        <v>46112</v>
      </c>
      <c r="F91" s="20">
        <v>9</v>
      </c>
      <c r="G91" s="20">
        <v>15</v>
      </c>
      <c r="H91" s="23">
        <v>92</v>
      </c>
      <c r="I91" t="s">
        <v>60</v>
      </c>
      <c r="J91" s="20">
        <v>45000</v>
      </c>
      <c r="K91" s="20" t="str">
        <f t="shared" si="4"/>
        <v>Yes</v>
      </c>
      <c r="L91" t="str">
        <f t="shared" si="5"/>
        <v>Excellent</v>
      </c>
    </row>
    <row r="92" spans="1:12" x14ac:dyDescent="0.35">
      <c r="A92">
        <v>91</v>
      </c>
      <c r="B92" t="s">
        <v>141</v>
      </c>
      <c r="C92" t="s">
        <v>32</v>
      </c>
      <c r="D92" t="s">
        <v>28</v>
      </c>
      <c r="E92" s="22">
        <v>46113</v>
      </c>
      <c r="F92" s="20">
        <v>7</v>
      </c>
      <c r="G92" s="20">
        <v>8</v>
      </c>
      <c r="H92" s="23">
        <v>74</v>
      </c>
      <c r="I92" t="s">
        <v>60</v>
      </c>
      <c r="J92" s="20">
        <v>28000</v>
      </c>
      <c r="K92" s="20" t="str">
        <f t="shared" si="4"/>
        <v>No</v>
      </c>
      <c r="L92" t="str">
        <f t="shared" si="5"/>
        <v>Average</v>
      </c>
    </row>
    <row r="93" spans="1:12" x14ac:dyDescent="0.35">
      <c r="A93">
        <v>92</v>
      </c>
      <c r="B93" t="s">
        <v>142</v>
      </c>
      <c r="C93" t="s">
        <v>27</v>
      </c>
      <c r="D93" t="s">
        <v>37</v>
      </c>
      <c r="E93" s="22">
        <v>46114</v>
      </c>
      <c r="F93" s="20">
        <v>8</v>
      </c>
      <c r="G93" s="20">
        <v>13</v>
      </c>
      <c r="H93" s="23">
        <v>87</v>
      </c>
      <c r="I93" t="s">
        <v>60</v>
      </c>
      <c r="J93" s="20">
        <v>40000</v>
      </c>
      <c r="K93" s="20" t="str">
        <f t="shared" si="4"/>
        <v>Yes</v>
      </c>
      <c r="L93" t="str">
        <f t="shared" si="5"/>
        <v>Good</v>
      </c>
    </row>
    <row r="94" spans="1:12" x14ac:dyDescent="0.35">
      <c r="A94">
        <v>93</v>
      </c>
      <c r="B94" t="s">
        <v>143</v>
      </c>
      <c r="C94" t="s">
        <v>36</v>
      </c>
      <c r="D94" t="s">
        <v>33</v>
      </c>
      <c r="E94" s="22">
        <v>46115</v>
      </c>
      <c r="F94" s="20">
        <v>6</v>
      </c>
      <c r="G94" s="20">
        <v>7</v>
      </c>
      <c r="H94" s="23">
        <v>67</v>
      </c>
      <c r="I94" t="s">
        <v>60</v>
      </c>
      <c r="J94" s="20">
        <v>30000</v>
      </c>
      <c r="K94" s="20" t="str">
        <f t="shared" si="4"/>
        <v>Yes</v>
      </c>
      <c r="L94" t="str">
        <f t="shared" si="5"/>
        <v>Poor</v>
      </c>
    </row>
    <row r="95" spans="1:12" x14ac:dyDescent="0.35">
      <c r="A95">
        <v>94</v>
      </c>
      <c r="B95" t="s">
        <v>39</v>
      </c>
      <c r="C95" t="s">
        <v>30</v>
      </c>
      <c r="D95" t="s">
        <v>31</v>
      </c>
      <c r="E95" s="22">
        <v>46116</v>
      </c>
      <c r="F95" s="20">
        <v>9</v>
      </c>
      <c r="G95" s="20">
        <v>16</v>
      </c>
      <c r="H95" s="23">
        <v>95</v>
      </c>
      <c r="I95" t="s">
        <v>60</v>
      </c>
      <c r="J95" s="20">
        <v>45000</v>
      </c>
      <c r="K95" s="20" t="str">
        <f t="shared" si="4"/>
        <v>Yes</v>
      </c>
      <c r="L95" t="str">
        <f t="shared" si="5"/>
        <v>Excellent</v>
      </c>
    </row>
    <row r="96" spans="1:12" x14ac:dyDescent="0.35">
      <c r="A96">
        <v>95</v>
      </c>
      <c r="B96" t="s">
        <v>144</v>
      </c>
      <c r="C96" t="s">
        <v>32</v>
      </c>
      <c r="D96" t="s">
        <v>28</v>
      </c>
      <c r="E96" s="22">
        <v>46117</v>
      </c>
      <c r="F96" s="20">
        <v>7</v>
      </c>
      <c r="G96" s="20">
        <v>9</v>
      </c>
      <c r="H96" s="23">
        <v>76</v>
      </c>
      <c r="I96" t="s">
        <v>60</v>
      </c>
      <c r="J96" s="20">
        <v>28000</v>
      </c>
      <c r="K96" s="20" t="str">
        <f t="shared" si="4"/>
        <v>No</v>
      </c>
      <c r="L96" t="str">
        <f t="shared" si="5"/>
        <v>Average</v>
      </c>
    </row>
    <row r="97" spans="1:12" x14ac:dyDescent="0.35">
      <c r="A97">
        <v>96</v>
      </c>
      <c r="B97" t="s">
        <v>145</v>
      </c>
      <c r="C97" t="s">
        <v>27</v>
      </c>
      <c r="D97" t="s">
        <v>37</v>
      </c>
      <c r="E97" s="22">
        <v>46118</v>
      </c>
      <c r="F97" s="20">
        <v>8</v>
      </c>
      <c r="G97" s="20">
        <v>12</v>
      </c>
      <c r="H97" s="23">
        <v>84</v>
      </c>
      <c r="I97" t="s">
        <v>60</v>
      </c>
      <c r="J97" s="20">
        <v>40000</v>
      </c>
      <c r="K97" s="20" t="str">
        <f t="shared" si="4"/>
        <v>Yes</v>
      </c>
      <c r="L97" t="str">
        <f t="shared" si="5"/>
        <v>Good</v>
      </c>
    </row>
    <row r="98" spans="1:12" x14ac:dyDescent="0.35">
      <c r="A98">
        <v>97</v>
      </c>
      <c r="B98" t="s">
        <v>146</v>
      </c>
      <c r="C98" t="s">
        <v>36</v>
      </c>
      <c r="D98" t="s">
        <v>33</v>
      </c>
      <c r="E98" s="22">
        <v>46119</v>
      </c>
      <c r="F98" s="20">
        <v>8</v>
      </c>
      <c r="G98" s="20">
        <v>10</v>
      </c>
      <c r="H98" s="23">
        <v>80</v>
      </c>
      <c r="I98" t="s">
        <v>60</v>
      </c>
      <c r="J98" s="20">
        <v>30000</v>
      </c>
      <c r="K98" s="20" t="str">
        <f t="shared" ref="K98:K101" si="6">IF(J98&gt;=30000,"Yes","No")</f>
        <v>Yes</v>
      </c>
      <c r="L98" t="str">
        <f t="shared" si="5"/>
        <v>Good</v>
      </c>
    </row>
    <row r="99" spans="1:12" x14ac:dyDescent="0.35">
      <c r="A99">
        <v>98</v>
      </c>
      <c r="B99" t="s">
        <v>147</v>
      </c>
      <c r="C99" t="s">
        <v>30</v>
      </c>
      <c r="D99" t="s">
        <v>31</v>
      </c>
      <c r="E99" s="22">
        <v>46120</v>
      </c>
      <c r="F99" s="20">
        <v>9</v>
      </c>
      <c r="G99" s="20">
        <v>15</v>
      </c>
      <c r="H99" s="23">
        <v>93</v>
      </c>
      <c r="I99" t="s">
        <v>60</v>
      </c>
      <c r="J99" s="20">
        <v>45000</v>
      </c>
      <c r="K99" s="20" t="str">
        <f t="shared" si="6"/>
        <v>Yes</v>
      </c>
      <c r="L99" t="str">
        <f t="shared" si="5"/>
        <v>Excellent</v>
      </c>
    </row>
    <row r="100" spans="1:12" x14ac:dyDescent="0.35">
      <c r="A100">
        <v>99</v>
      </c>
      <c r="B100" t="s">
        <v>148</v>
      </c>
      <c r="C100" t="s">
        <v>32</v>
      </c>
      <c r="D100" t="s">
        <v>28</v>
      </c>
      <c r="E100" s="22">
        <v>46121</v>
      </c>
      <c r="F100" s="20">
        <v>7</v>
      </c>
      <c r="G100" s="20">
        <v>8</v>
      </c>
      <c r="H100" s="23">
        <v>72</v>
      </c>
      <c r="I100" t="s">
        <v>60</v>
      </c>
      <c r="J100" s="20">
        <v>28000</v>
      </c>
      <c r="K100" s="20" t="str">
        <f t="shared" si="6"/>
        <v>No</v>
      </c>
      <c r="L100" t="str">
        <f t="shared" si="5"/>
        <v>Average</v>
      </c>
    </row>
    <row r="101" spans="1:12" x14ac:dyDescent="0.35">
      <c r="A101">
        <v>100</v>
      </c>
      <c r="B101" t="s">
        <v>149</v>
      </c>
      <c r="C101" t="s">
        <v>27</v>
      </c>
      <c r="D101" t="s">
        <v>37</v>
      </c>
      <c r="E101" s="22">
        <v>46122</v>
      </c>
      <c r="F101" s="20">
        <v>8</v>
      </c>
      <c r="G101" s="20">
        <v>13</v>
      </c>
      <c r="H101" s="23">
        <v>88</v>
      </c>
      <c r="I101" t="s">
        <v>60</v>
      </c>
      <c r="J101" s="20">
        <v>40000</v>
      </c>
      <c r="K101" s="20" t="str">
        <f t="shared" si="6"/>
        <v>Yes</v>
      </c>
      <c r="L101" t="str">
        <f t="shared" si="5"/>
        <v>Good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8"/>
  <sheetViews>
    <sheetView zoomScale="89" workbookViewId="0">
      <selection activeCell="H8" sqref="H8"/>
    </sheetView>
  </sheetViews>
  <sheetFormatPr defaultRowHeight="14.5" x14ac:dyDescent="0.35"/>
  <cols>
    <col min="1" max="1" width="13.08984375" bestFit="1" customWidth="1"/>
    <col min="2" max="2" width="12.453125" bestFit="1" customWidth="1"/>
    <col min="3" max="3" width="14.81640625" bestFit="1" customWidth="1"/>
    <col min="6" max="6" width="26.26953125" bestFit="1" customWidth="1"/>
  </cols>
  <sheetData>
    <row r="1" spans="1:6" x14ac:dyDescent="0.35">
      <c r="F1" s="24" t="s">
        <v>150</v>
      </c>
    </row>
    <row r="3" spans="1:6" x14ac:dyDescent="0.35">
      <c r="A3" s="1" t="s">
        <v>151</v>
      </c>
      <c r="B3" t="s">
        <v>152</v>
      </c>
    </row>
    <row r="4" spans="1:6" x14ac:dyDescent="0.35">
      <c r="A4" s="2" t="s">
        <v>27</v>
      </c>
      <c r="B4">
        <v>2155</v>
      </c>
    </row>
    <row r="5" spans="1:6" x14ac:dyDescent="0.35">
      <c r="A5" s="2" t="s">
        <v>32</v>
      </c>
      <c r="B5">
        <v>1863</v>
      </c>
    </row>
    <row r="6" spans="1:6" x14ac:dyDescent="0.35">
      <c r="A6" s="2" t="s">
        <v>30</v>
      </c>
      <c r="B6">
        <v>2332</v>
      </c>
    </row>
    <row r="7" spans="1:6" x14ac:dyDescent="0.35">
      <c r="A7" s="2" t="s">
        <v>36</v>
      </c>
      <c r="B7">
        <v>1904</v>
      </c>
    </row>
    <row r="8" spans="1:6" x14ac:dyDescent="0.35">
      <c r="A8" s="2" t="s">
        <v>153</v>
      </c>
      <c r="B8">
        <v>8254</v>
      </c>
    </row>
    <row r="12" spans="1:6" x14ac:dyDescent="0.35">
      <c r="A12" s="1" t="s">
        <v>22</v>
      </c>
      <c r="B12" t="s">
        <v>154</v>
      </c>
      <c r="C12" t="s">
        <v>155</v>
      </c>
    </row>
    <row r="13" spans="1:6" x14ac:dyDescent="0.35">
      <c r="A13" s="2" t="s">
        <v>28</v>
      </c>
      <c r="B13">
        <v>734000</v>
      </c>
      <c r="C13">
        <v>75.64</v>
      </c>
    </row>
    <row r="14" spans="1:6" x14ac:dyDescent="0.35">
      <c r="A14" s="2" t="s">
        <v>33</v>
      </c>
      <c r="B14">
        <v>750000</v>
      </c>
      <c r="C14">
        <v>76.16</v>
      </c>
    </row>
    <row r="15" spans="1:6" x14ac:dyDescent="0.35">
      <c r="A15" s="2" t="s">
        <v>31</v>
      </c>
      <c r="B15">
        <v>1091000</v>
      </c>
      <c r="C15">
        <v>92.16</v>
      </c>
    </row>
    <row r="16" spans="1:6" x14ac:dyDescent="0.35">
      <c r="A16" s="2" t="s">
        <v>37</v>
      </c>
      <c r="B16">
        <v>1000000</v>
      </c>
      <c r="C16">
        <v>86.2</v>
      </c>
    </row>
    <row r="17" spans="1:3" x14ac:dyDescent="0.35">
      <c r="A17" s="2" t="s">
        <v>153</v>
      </c>
      <c r="B17">
        <v>3575000</v>
      </c>
      <c r="C17">
        <v>82.54</v>
      </c>
    </row>
    <row r="21" spans="1:3" x14ac:dyDescent="0.35">
      <c r="A21" s="1" t="s">
        <v>151</v>
      </c>
      <c r="B21" t="s">
        <v>156</v>
      </c>
    </row>
    <row r="22" spans="1:3" x14ac:dyDescent="0.35">
      <c r="A22" s="2" t="s">
        <v>157</v>
      </c>
      <c r="B22">
        <v>31</v>
      </c>
    </row>
    <row r="23" spans="1:3" x14ac:dyDescent="0.35">
      <c r="A23" s="2" t="s">
        <v>158</v>
      </c>
      <c r="B23">
        <v>28</v>
      </c>
    </row>
    <row r="24" spans="1:3" x14ac:dyDescent="0.35">
      <c r="A24" s="2" t="s">
        <v>159</v>
      </c>
      <c r="B24">
        <v>31</v>
      </c>
    </row>
    <row r="25" spans="1:3" x14ac:dyDescent="0.35">
      <c r="A25" s="2" t="s">
        <v>160</v>
      </c>
      <c r="B25">
        <v>10</v>
      </c>
    </row>
    <row r="26" spans="1:3" x14ac:dyDescent="0.35">
      <c r="A26" s="2" t="s">
        <v>153</v>
      </c>
      <c r="B26">
        <v>100</v>
      </c>
    </row>
    <row r="30" spans="1:3" x14ac:dyDescent="0.35">
      <c r="A30" s="1" t="s">
        <v>151</v>
      </c>
      <c r="B30" t="s">
        <v>156</v>
      </c>
    </row>
    <row r="31" spans="1:3" x14ac:dyDescent="0.35">
      <c r="A31" s="2" t="s">
        <v>161</v>
      </c>
      <c r="B31">
        <v>25</v>
      </c>
    </row>
    <row r="32" spans="1:3" x14ac:dyDescent="0.35">
      <c r="A32" s="2" t="s">
        <v>162</v>
      </c>
      <c r="B32">
        <v>75</v>
      </c>
    </row>
    <row r="33" spans="1:2" x14ac:dyDescent="0.35">
      <c r="A33" s="2" t="s">
        <v>153</v>
      </c>
      <c r="B33">
        <v>100</v>
      </c>
    </row>
    <row r="37" spans="1:2" x14ac:dyDescent="0.35">
      <c r="A37" s="1" t="s">
        <v>151</v>
      </c>
      <c r="B37" t="s">
        <v>163</v>
      </c>
    </row>
    <row r="38" spans="1:2" x14ac:dyDescent="0.35">
      <c r="A38" s="2" t="s">
        <v>29</v>
      </c>
      <c r="B38">
        <v>96</v>
      </c>
    </row>
    <row r="39" spans="1:2" x14ac:dyDescent="0.35">
      <c r="A39" s="2" t="s">
        <v>35</v>
      </c>
      <c r="B39">
        <v>96</v>
      </c>
    </row>
    <row r="40" spans="1:2" x14ac:dyDescent="0.35">
      <c r="A40" s="2" t="s">
        <v>34</v>
      </c>
      <c r="B40">
        <v>96</v>
      </c>
    </row>
    <row r="41" spans="1:2" x14ac:dyDescent="0.35">
      <c r="A41" s="2" t="s">
        <v>41</v>
      </c>
      <c r="B41">
        <v>95</v>
      </c>
    </row>
    <row r="42" spans="1:2" x14ac:dyDescent="0.35">
      <c r="A42" s="2" t="s">
        <v>40</v>
      </c>
      <c r="B42">
        <v>95</v>
      </c>
    </row>
    <row r="43" spans="1:2" x14ac:dyDescent="0.35">
      <c r="A43" s="2" t="s">
        <v>42</v>
      </c>
      <c r="B43">
        <v>95</v>
      </c>
    </row>
    <row r="44" spans="1:2" x14ac:dyDescent="0.35">
      <c r="A44" s="2" t="s">
        <v>38</v>
      </c>
      <c r="B44">
        <v>95</v>
      </c>
    </row>
    <row r="45" spans="1:2" x14ac:dyDescent="0.35">
      <c r="A45" s="2" t="s">
        <v>39</v>
      </c>
      <c r="B45">
        <v>95</v>
      </c>
    </row>
    <row r="46" spans="1:2" x14ac:dyDescent="0.35">
      <c r="A46" s="2" t="s">
        <v>44</v>
      </c>
      <c r="B46">
        <v>94</v>
      </c>
    </row>
    <row r="47" spans="1:2" x14ac:dyDescent="0.35">
      <c r="A47" s="2" t="s">
        <v>83</v>
      </c>
      <c r="B47">
        <v>94</v>
      </c>
    </row>
    <row r="48" spans="1:2" x14ac:dyDescent="0.35">
      <c r="A48" s="2" t="s">
        <v>43</v>
      </c>
      <c r="B48">
        <v>94</v>
      </c>
    </row>
    <row r="49" spans="1:2" x14ac:dyDescent="0.35">
      <c r="A49" s="2" t="s">
        <v>108</v>
      </c>
      <c r="B49">
        <v>93</v>
      </c>
    </row>
    <row r="50" spans="1:2" x14ac:dyDescent="0.35">
      <c r="A50" s="2" t="s">
        <v>133</v>
      </c>
      <c r="B50">
        <v>93</v>
      </c>
    </row>
    <row r="51" spans="1:2" x14ac:dyDescent="0.35">
      <c r="A51" s="2" t="s">
        <v>79</v>
      </c>
      <c r="B51">
        <v>93</v>
      </c>
    </row>
    <row r="52" spans="1:2" x14ac:dyDescent="0.35">
      <c r="A52" s="2" t="s">
        <v>94</v>
      </c>
      <c r="B52">
        <v>93</v>
      </c>
    </row>
    <row r="53" spans="1:2" x14ac:dyDescent="0.35">
      <c r="A53" s="2" t="s">
        <v>147</v>
      </c>
      <c r="B53">
        <v>93</v>
      </c>
    </row>
    <row r="54" spans="1:2" x14ac:dyDescent="0.35">
      <c r="A54" s="2" t="s">
        <v>126</v>
      </c>
      <c r="B54">
        <v>92</v>
      </c>
    </row>
    <row r="55" spans="1:2" x14ac:dyDescent="0.35">
      <c r="A55" s="2" t="s">
        <v>62</v>
      </c>
      <c r="B55">
        <v>92</v>
      </c>
    </row>
    <row r="56" spans="1:2" x14ac:dyDescent="0.35">
      <c r="A56" s="2" t="s">
        <v>101</v>
      </c>
      <c r="B56">
        <v>92</v>
      </c>
    </row>
    <row r="57" spans="1:2" x14ac:dyDescent="0.35">
      <c r="A57" s="2" t="s">
        <v>140</v>
      </c>
      <c r="B57">
        <v>92</v>
      </c>
    </row>
    <row r="58" spans="1:2" x14ac:dyDescent="0.35">
      <c r="A58" s="2" t="s">
        <v>87</v>
      </c>
      <c r="B58">
        <v>92</v>
      </c>
    </row>
    <row r="59" spans="1:2" x14ac:dyDescent="0.35">
      <c r="A59" s="2" t="s">
        <v>116</v>
      </c>
      <c r="B59">
        <v>91</v>
      </c>
    </row>
    <row r="60" spans="1:2" x14ac:dyDescent="0.35">
      <c r="A60" s="2" t="s">
        <v>72</v>
      </c>
      <c r="B60">
        <v>91</v>
      </c>
    </row>
    <row r="61" spans="1:2" x14ac:dyDescent="0.35">
      <c r="A61" s="2" t="s">
        <v>65</v>
      </c>
      <c r="B61">
        <v>90</v>
      </c>
    </row>
    <row r="62" spans="1:2" x14ac:dyDescent="0.35">
      <c r="A62" s="2" t="s">
        <v>119</v>
      </c>
      <c r="B62">
        <v>90</v>
      </c>
    </row>
    <row r="63" spans="1:2" x14ac:dyDescent="0.35">
      <c r="A63" s="2" t="s">
        <v>149</v>
      </c>
      <c r="B63">
        <v>88</v>
      </c>
    </row>
    <row r="64" spans="1:2" x14ac:dyDescent="0.35">
      <c r="A64" s="2" t="s">
        <v>110</v>
      </c>
      <c r="B64">
        <v>88</v>
      </c>
    </row>
    <row r="65" spans="1:2" x14ac:dyDescent="0.35">
      <c r="A65" s="2" t="s">
        <v>81</v>
      </c>
      <c r="B65">
        <v>88</v>
      </c>
    </row>
    <row r="66" spans="1:2" x14ac:dyDescent="0.35">
      <c r="A66" s="2" t="s">
        <v>96</v>
      </c>
      <c r="B66">
        <v>88</v>
      </c>
    </row>
    <row r="67" spans="1:2" x14ac:dyDescent="0.35">
      <c r="A67" s="2" t="s">
        <v>63</v>
      </c>
      <c r="B67">
        <v>88</v>
      </c>
    </row>
    <row r="68" spans="1:2" x14ac:dyDescent="0.35">
      <c r="A68" s="2" t="s">
        <v>135</v>
      </c>
      <c r="B68">
        <v>88</v>
      </c>
    </row>
    <row r="69" spans="1:2" x14ac:dyDescent="0.35">
      <c r="A69" s="2" t="s">
        <v>117</v>
      </c>
      <c r="B69">
        <v>87</v>
      </c>
    </row>
    <row r="70" spans="1:2" x14ac:dyDescent="0.35">
      <c r="A70" s="2" t="s">
        <v>128</v>
      </c>
      <c r="B70">
        <v>87</v>
      </c>
    </row>
    <row r="71" spans="1:2" x14ac:dyDescent="0.35">
      <c r="A71" s="2" t="s">
        <v>89</v>
      </c>
      <c r="B71">
        <v>87</v>
      </c>
    </row>
    <row r="72" spans="1:2" x14ac:dyDescent="0.35">
      <c r="A72" s="2" t="s">
        <v>74</v>
      </c>
      <c r="B72">
        <v>87</v>
      </c>
    </row>
    <row r="73" spans="1:2" x14ac:dyDescent="0.35">
      <c r="A73" s="2" t="s">
        <v>142</v>
      </c>
      <c r="B73">
        <v>87</v>
      </c>
    </row>
    <row r="74" spans="1:2" x14ac:dyDescent="0.35">
      <c r="A74" s="2" t="s">
        <v>138</v>
      </c>
      <c r="B74">
        <v>86</v>
      </c>
    </row>
    <row r="75" spans="1:2" x14ac:dyDescent="0.35">
      <c r="A75" s="2" t="s">
        <v>85</v>
      </c>
      <c r="B75">
        <v>86</v>
      </c>
    </row>
    <row r="76" spans="1:2" x14ac:dyDescent="0.35">
      <c r="A76" s="2" t="s">
        <v>113</v>
      </c>
      <c r="B76">
        <v>86</v>
      </c>
    </row>
    <row r="77" spans="1:2" x14ac:dyDescent="0.35">
      <c r="A77" s="2" t="s">
        <v>103</v>
      </c>
      <c r="B77">
        <v>86</v>
      </c>
    </row>
    <row r="78" spans="1:2" x14ac:dyDescent="0.35">
      <c r="A78" s="2" t="s">
        <v>121</v>
      </c>
      <c r="B78">
        <v>86</v>
      </c>
    </row>
    <row r="79" spans="1:2" x14ac:dyDescent="0.35">
      <c r="A79" s="2" t="s">
        <v>67</v>
      </c>
      <c r="B79">
        <v>86</v>
      </c>
    </row>
    <row r="80" spans="1:2" x14ac:dyDescent="0.35">
      <c r="A80" s="2" t="s">
        <v>99</v>
      </c>
      <c r="B80">
        <v>85</v>
      </c>
    </row>
    <row r="81" spans="1:2" x14ac:dyDescent="0.35">
      <c r="A81" s="2" t="s">
        <v>131</v>
      </c>
      <c r="B81">
        <v>85</v>
      </c>
    </row>
    <row r="82" spans="1:2" x14ac:dyDescent="0.35">
      <c r="A82" s="2" t="s">
        <v>106</v>
      </c>
      <c r="B82">
        <v>85</v>
      </c>
    </row>
    <row r="83" spans="1:2" x14ac:dyDescent="0.35">
      <c r="A83" s="2" t="s">
        <v>59</v>
      </c>
      <c r="B83">
        <v>85</v>
      </c>
    </row>
    <row r="84" spans="1:2" x14ac:dyDescent="0.35">
      <c r="A84" s="2" t="s">
        <v>77</v>
      </c>
      <c r="B84">
        <v>85</v>
      </c>
    </row>
    <row r="85" spans="1:2" x14ac:dyDescent="0.35">
      <c r="A85" s="2" t="s">
        <v>70</v>
      </c>
      <c r="B85">
        <v>84</v>
      </c>
    </row>
    <row r="86" spans="1:2" x14ac:dyDescent="0.35">
      <c r="A86" s="2" t="s">
        <v>145</v>
      </c>
      <c r="B86">
        <v>84</v>
      </c>
    </row>
    <row r="87" spans="1:2" x14ac:dyDescent="0.35">
      <c r="A87" s="2" t="s">
        <v>92</v>
      </c>
      <c r="B87">
        <v>84</v>
      </c>
    </row>
    <row r="88" spans="1:2" x14ac:dyDescent="0.35">
      <c r="A88" s="2" t="s">
        <v>114</v>
      </c>
      <c r="B88">
        <v>84</v>
      </c>
    </row>
    <row r="89" spans="1:2" x14ac:dyDescent="0.35">
      <c r="A89" s="2" t="s">
        <v>124</v>
      </c>
      <c r="B89">
        <v>84</v>
      </c>
    </row>
    <row r="90" spans="1:2" x14ac:dyDescent="0.35">
      <c r="A90" s="2" t="s">
        <v>75</v>
      </c>
      <c r="B90">
        <v>82</v>
      </c>
    </row>
    <row r="91" spans="1:2" x14ac:dyDescent="0.35">
      <c r="A91" s="2" t="s">
        <v>97</v>
      </c>
      <c r="B91">
        <v>82</v>
      </c>
    </row>
    <row r="92" spans="1:2" x14ac:dyDescent="0.35">
      <c r="A92" s="2" t="s">
        <v>129</v>
      </c>
      <c r="B92">
        <v>82</v>
      </c>
    </row>
    <row r="93" spans="1:2" x14ac:dyDescent="0.35">
      <c r="A93" s="2" t="s">
        <v>107</v>
      </c>
      <c r="B93">
        <v>81</v>
      </c>
    </row>
    <row r="94" spans="1:2" x14ac:dyDescent="0.35">
      <c r="A94" s="2" t="s">
        <v>86</v>
      </c>
      <c r="B94">
        <v>81</v>
      </c>
    </row>
    <row r="95" spans="1:2" x14ac:dyDescent="0.35">
      <c r="A95" s="2" t="s">
        <v>139</v>
      </c>
      <c r="B95">
        <v>81</v>
      </c>
    </row>
    <row r="96" spans="1:2" x14ac:dyDescent="0.35">
      <c r="A96" s="2" t="s">
        <v>93</v>
      </c>
      <c r="B96">
        <v>80</v>
      </c>
    </row>
    <row r="97" spans="1:2" x14ac:dyDescent="0.35">
      <c r="A97" s="2" t="s">
        <v>68</v>
      </c>
      <c r="B97">
        <v>80</v>
      </c>
    </row>
    <row r="98" spans="1:2" x14ac:dyDescent="0.35">
      <c r="A98" s="2" t="s">
        <v>122</v>
      </c>
      <c r="B98">
        <v>80</v>
      </c>
    </row>
    <row r="99" spans="1:2" x14ac:dyDescent="0.35">
      <c r="A99" s="2" t="s">
        <v>146</v>
      </c>
      <c r="B99">
        <v>80</v>
      </c>
    </row>
    <row r="100" spans="1:2" x14ac:dyDescent="0.35">
      <c r="A100" s="2" t="s">
        <v>104</v>
      </c>
      <c r="B100">
        <v>79</v>
      </c>
    </row>
    <row r="101" spans="1:2" x14ac:dyDescent="0.35">
      <c r="A101" s="2" t="s">
        <v>78</v>
      </c>
      <c r="B101">
        <v>79</v>
      </c>
    </row>
    <row r="102" spans="1:2" x14ac:dyDescent="0.35">
      <c r="A102" s="2" t="s">
        <v>132</v>
      </c>
      <c r="B102">
        <v>79</v>
      </c>
    </row>
    <row r="103" spans="1:2" x14ac:dyDescent="0.35">
      <c r="A103" s="2" t="s">
        <v>61</v>
      </c>
      <c r="B103">
        <v>78</v>
      </c>
    </row>
    <row r="104" spans="1:2" x14ac:dyDescent="0.35">
      <c r="A104" s="2" t="s">
        <v>115</v>
      </c>
      <c r="B104">
        <v>77</v>
      </c>
    </row>
    <row r="105" spans="1:2" x14ac:dyDescent="0.35">
      <c r="A105" s="2" t="s">
        <v>144</v>
      </c>
      <c r="B105">
        <v>76</v>
      </c>
    </row>
    <row r="106" spans="1:2" x14ac:dyDescent="0.35">
      <c r="A106" s="2" t="s">
        <v>91</v>
      </c>
      <c r="B106">
        <v>76</v>
      </c>
    </row>
    <row r="107" spans="1:2" x14ac:dyDescent="0.35">
      <c r="A107" s="2" t="s">
        <v>130</v>
      </c>
      <c r="B107">
        <v>76</v>
      </c>
    </row>
    <row r="108" spans="1:2" x14ac:dyDescent="0.35">
      <c r="A108" s="2" t="s">
        <v>105</v>
      </c>
      <c r="B108">
        <v>76</v>
      </c>
    </row>
    <row r="109" spans="1:2" x14ac:dyDescent="0.35">
      <c r="A109" s="2" t="s">
        <v>76</v>
      </c>
      <c r="B109">
        <v>76</v>
      </c>
    </row>
    <row r="110" spans="1:2" x14ac:dyDescent="0.35">
      <c r="A110" s="2" t="s">
        <v>120</v>
      </c>
      <c r="B110">
        <v>76</v>
      </c>
    </row>
    <row r="111" spans="1:2" x14ac:dyDescent="0.35">
      <c r="A111" s="2" t="s">
        <v>66</v>
      </c>
      <c r="B111">
        <v>75</v>
      </c>
    </row>
    <row r="112" spans="1:2" x14ac:dyDescent="0.35">
      <c r="A112" s="2" t="s">
        <v>98</v>
      </c>
      <c r="B112">
        <v>75</v>
      </c>
    </row>
    <row r="113" spans="1:2" x14ac:dyDescent="0.35">
      <c r="A113" s="2" t="s">
        <v>137</v>
      </c>
      <c r="B113">
        <v>75</v>
      </c>
    </row>
    <row r="114" spans="1:2" x14ac:dyDescent="0.35">
      <c r="A114" s="2" t="s">
        <v>112</v>
      </c>
      <c r="B114">
        <v>75</v>
      </c>
    </row>
    <row r="115" spans="1:2" x14ac:dyDescent="0.35">
      <c r="A115" s="2" t="s">
        <v>84</v>
      </c>
      <c r="B115">
        <v>75</v>
      </c>
    </row>
    <row r="116" spans="1:2" x14ac:dyDescent="0.35">
      <c r="A116" s="2" t="s">
        <v>69</v>
      </c>
      <c r="B116">
        <v>74</v>
      </c>
    </row>
    <row r="117" spans="1:2" x14ac:dyDescent="0.35">
      <c r="A117" s="2" t="s">
        <v>141</v>
      </c>
      <c r="B117">
        <v>74</v>
      </c>
    </row>
    <row r="118" spans="1:2" x14ac:dyDescent="0.35">
      <c r="A118" s="2" t="s">
        <v>88</v>
      </c>
      <c r="B118">
        <v>74</v>
      </c>
    </row>
    <row r="119" spans="1:2" x14ac:dyDescent="0.35">
      <c r="A119" s="2" t="s">
        <v>123</v>
      </c>
      <c r="B119">
        <v>74</v>
      </c>
    </row>
    <row r="120" spans="1:2" x14ac:dyDescent="0.35">
      <c r="A120" s="2" t="s">
        <v>109</v>
      </c>
      <c r="B120">
        <v>74</v>
      </c>
    </row>
    <row r="121" spans="1:2" x14ac:dyDescent="0.35">
      <c r="A121" s="2" t="s">
        <v>80</v>
      </c>
      <c r="B121">
        <v>73</v>
      </c>
    </row>
    <row r="122" spans="1:2" x14ac:dyDescent="0.35">
      <c r="A122" s="2" t="s">
        <v>102</v>
      </c>
      <c r="B122">
        <v>73</v>
      </c>
    </row>
    <row r="123" spans="1:2" x14ac:dyDescent="0.35">
      <c r="A123" s="2" t="s">
        <v>134</v>
      </c>
      <c r="B123">
        <v>73</v>
      </c>
    </row>
    <row r="124" spans="1:2" x14ac:dyDescent="0.35">
      <c r="A124" s="2" t="s">
        <v>73</v>
      </c>
      <c r="B124">
        <v>72</v>
      </c>
    </row>
    <row r="125" spans="1:2" x14ac:dyDescent="0.35">
      <c r="A125" s="2" t="s">
        <v>127</v>
      </c>
      <c r="B125">
        <v>72</v>
      </c>
    </row>
    <row r="126" spans="1:2" x14ac:dyDescent="0.35">
      <c r="A126" s="2" t="s">
        <v>95</v>
      </c>
      <c r="B126">
        <v>72</v>
      </c>
    </row>
    <row r="127" spans="1:2" x14ac:dyDescent="0.35">
      <c r="A127" s="2" t="s">
        <v>148</v>
      </c>
      <c r="B127">
        <v>72</v>
      </c>
    </row>
    <row r="128" spans="1:2" x14ac:dyDescent="0.35">
      <c r="A128" s="2" t="s">
        <v>118</v>
      </c>
      <c r="B128">
        <v>71</v>
      </c>
    </row>
    <row r="129" spans="1:2" x14ac:dyDescent="0.35">
      <c r="A129" s="2" t="s">
        <v>136</v>
      </c>
      <c r="B129">
        <v>70</v>
      </c>
    </row>
    <row r="130" spans="1:2" x14ac:dyDescent="0.35">
      <c r="A130" s="2" t="s">
        <v>64</v>
      </c>
      <c r="B130">
        <v>70</v>
      </c>
    </row>
    <row r="131" spans="1:2" x14ac:dyDescent="0.35">
      <c r="A131" s="2" t="s">
        <v>100</v>
      </c>
      <c r="B131">
        <v>70</v>
      </c>
    </row>
    <row r="132" spans="1:2" x14ac:dyDescent="0.35">
      <c r="A132" s="2" t="s">
        <v>125</v>
      </c>
      <c r="B132">
        <v>69</v>
      </c>
    </row>
    <row r="133" spans="1:2" x14ac:dyDescent="0.35">
      <c r="A133" s="2" t="s">
        <v>82</v>
      </c>
      <c r="B133">
        <v>69</v>
      </c>
    </row>
    <row r="134" spans="1:2" x14ac:dyDescent="0.35">
      <c r="A134" s="2" t="s">
        <v>111</v>
      </c>
      <c r="B134">
        <v>68</v>
      </c>
    </row>
    <row r="135" spans="1:2" x14ac:dyDescent="0.35">
      <c r="A135" s="2" t="s">
        <v>71</v>
      </c>
      <c r="B135">
        <v>68</v>
      </c>
    </row>
    <row r="136" spans="1:2" x14ac:dyDescent="0.35">
      <c r="A136" s="2" t="s">
        <v>143</v>
      </c>
      <c r="B136">
        <v>67</v>
      </c>
    </row>
    <row r="137" spans="1:2" x14ac:dyDescent="0.35">
      <c r="A137" s="2" t="s">
        <v>90</v>
      </c>
      <c r="B137">
        <v>67</v>
      </c>
    </row>
    <row r="138" spans="1:2" x14ac:dyDescent="0.35">
      <c r="A138" s="2" t="s">
        <v>153</v>
      </c>
      <c r="B138">
        <v>8254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K20" sqref="K2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EmployeeData</vt:lpstr>
      <vt:lpstr>Pivot Table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nightdrgl1@gmail.com</dc:creator>
  <cp:lastModifiedBy>nightdrgl1@gmail.com</cp:lastModifiedBy>
  <dcterms:created xsi:type="dcterms:W3CDTF">2026-07-01T11:35:17Z</dcterms:created>
  <dcterms:modified xsi:type="dcterms:W3CDTF">2026-07-01T13:33:33Z</dcterms:modified>
</cp:coreProperties>
</file>